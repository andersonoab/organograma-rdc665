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_RPA\AppOrganograma\GPT\"/>
    </mc:Choice>
  </mc:AlternateContent>
  <xr:revisionPtr revIDLastSave="0" documentId="13_ncr:1_{8D3E9560-0874-453D-8CE4-9401F102894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Base_Funcionarios" sheetId="1" r:id="rId1"/>
    <sheet name="Area_Map" sheetId="2" r:id="rId2"/>
    <sheet name="Node_Positions" sheetId="3" r:id="rId3"/>
    <sheet name="Plano_Editavel" sheetId="4" r:id="rId4"/>
  </sheets>
  <definedNames>
    <definedName name="_xlnm._FilterDatabase" localSheetId="0" hidden="1">Base_Funcionarios!$A$1:$H$163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21" i="3" s="1"/>
  <c r="B22" i="3" s="1"/>
  <c r="B23" i="3" s="1"/>
  <c r="B24" i="3" s="1"/>
  <c r="B14" i="3"/>
  <c r="B15" i="3" s="1"/>
  <c r="B16" i="3" s="1"/>
  <c r="B17" i="3" s="1"/>
  <c r="B18" i="3" s="1"/>
  <c r="C13" i="3"/>
  <c r="C19" i="3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<sst xmlns="http://schemas.openxmlformats.org/spreadsheetml/2006/main" count="911" uniqueCount="606">
  <si>
    <t>2-Diretoria</t>
  </si>
  <si>
    <t>9-Matricula</t>
  </si>
  <si>
    <t>10-Nome</t>
  </si>
  <si>
    <t>29-Título Cargo</t>
  </si>
  <si>
    <t>38-Matrícula Gestor</t>
  </si>
  <si>
    <t>39-Gestor</t>
  </si>
  <si>
    <t>CDC</t>
  </si>
  <si>
    <t>RDC-</t>
  </si>
  <si>
    <t>Alta Administração</t>
  </si>
  <si>
    <t>500000 ADVANCED BIONICS</t>
  </si>
  <si>
    <t>300000 GERENCIA GERAL WHS</t>
  </si>
  <si>
    <t>401000 GERENCIA GERAL RETAIL</t>
  </si>
  <si>
    <t>AB - RDC apoio</t>
  </si>
  <si>
    <t>Administrativo - RDC apoio</t>
  </si>
  <si>
    <t>401100 ADMINISTRATIVO AC</t>
  </si>
  <si>
    <t>Assistência</t>
  </si>
  <si>
    <t>799300 ASSISTENCIA TECNICA</t>
  </si>
  <si>
    <t>720000 TI</t>
  </si>
  <si>
    <t>Atendimento - RDC apoio</t>
  </si>
  <si>
    <t>742100 ATENDIMENTO PROFISSIONAL</t>
  </si>
  <si>
    <t>404100 ATENDIMENTO AO CLIENTE AC</t>
  </si>
  <si>
    <t>743210 ATENDIMENTO AO CLIENTE RETAI</t>
  </si>
  <si>
    <t>499000 PARCEIROS AC</t>
  </si>
  <si>
    <t>Compras</t>
  </si>
  <si>
    <t>792000 COMPRAS E FACILITIES</t>
  </si>
  <si>
    <t>Contabilidade - RDC apoio</t>
  </si>
  <si>
    <t>712000 CONTABILIDADE</t>
  </si>
  <si>
    <t>Expansão - RDC apoio</t>
  </si>
  <si>
    <t>405000 EXPANSÃO AC</t>
  </si>
  <si>
    <t>Finanças - RDC apoio</t>
  </si>
  <si>
    <t>714000 TESOURARIA E CONTAS A PAGAR</t>
  </si>
  <si>
    <t>403000 FINANÇAS RETAIL</t>
  </si>
  <si>
    <t>301000 FINANÇAS WHOLESALE</t>
  </si>
  <si>
    <t>715000 CONTAS A RECEBER</t>
  </si>
  <si>
    <t>Fiscal - RDC apoio</t>
  </si>
  <si>
    <t>713000 FISCAL</t>
  </si>
  <si>
    <t>Gerencia - RDC apoio</t>
  </si>
  <si>
    <t>700000 GERENCIA GERAL</t>
  </si>
  <si>
    <t>420000 - REGIONAL SPC2</t>
  </si>
  <si>
    <t>Laboratório</t>
  </si>
  <si>
    <t>799000 LABORATORIO</t>
  </si>
  <si>
    <t>Latam - RDC apoio</t>
  </si>
  <si>
    <t>600000 AMERICA LATINA</t>
  </si>
  <si>
    <t>520000 AMERICA LATINA AB</t>
  </si>
  <si>
    <t>620000 AMERICA LATINA HANSATON</t>
  </si>
  <si>
    <t>610000 AMERICA LATINA UNITRON</t>
  </si>
  <si>
    <t>Logística</t>
  </si>
  <si>
    <t>791000 LOGISTICA</t>
  </si>
  <si>
    <t>530000 LOGISTICA AB</t>
  </si>
  <si>
    <t>791200 FATURAMENTO</t>
  </si>
  <si>
    <t>791100 ESTOQUE</t>
  </si>
  <si>
    <t>791300 EXPEDIÇÃO</t>
  </si>
  <si>
    <t>Marketing - RDC apoio</t>
  </si>
  <si>
    <t>740000 MARKETING</t>
  </si>
  <si>
    <t>404000 MARKETING AC</t>
  </si>
  <si>
    <t>Produção</t>
  </si>
  <si>
    <t>799100 PRODUÇÃO DIGITAL E SILICONE</t>
  </si>
  <si>
    <t>799200 PRODUÇÃO ITE</t>
  </si>
  <si>
    <t>Qualidade</t>
  </si>
  <si>
    <t>799400 CONTROLE DE QUALIDADE</t>
  </si>
  <si>
    <t>716000 ASSUNTOS REGULATORIOS</t>
  </si>
  <si>
    <t>741000 TREINAMENTO PRODUTOS</t>
  </si>
  <si>
    <t>Revenda - RDC apoio</t>
  </si>
  <si>
    <t>324000 REVENDA BRASIL</t>
  </si>
  <si>
    <t>RH</t>
  </si>
  <si>
    <t>403200 RH RETAIL</t>
  </si>
  <si>
    <t>303000 RH WHOLESALE</t>
  </si>
  <si>
    <t>TI - RDC apoio</t>
  </si>
  <si>
    <t>Area_Base</t>
  </si>
  <si>
    <t>Area_TXT</t>
  </si>
  <si>
    <t>diretor</t>
  </si>
  <si>
    <t>RDC</t>
  </si>
  <si>
    <t>qualidade</t>
  </si>
  <si>
    <t>laborat</t>
  </si>
  <si>
    <t>produ</t>
  </si>
  <si>
    <t>logíst</t>
  </si>
  <si>
    <t>compr</t>
  </si>
  <si>
    <t>assist</t>
  </si>
  <si>
    <t>rh</t>
  </si>
  <si>
    <t>SST</t>
  </si>
  <si>
    <t>segurança</t>
  </si>
  <si>
    <t>ab apoio</t>
  </si>
  <si>
    <t>RDC apoio</t>
  </si>
  <si>
    <t>administrativo apoio</t>
  </si>
  <si>
    <t>atendimento apoio</t>
  </si>
  <si>
    <t>contabilidade apoio</t>
  </si>
  <si>
    <t>expansao apoio</t>
  </si>
  <si>
    <t>financas apoio</t>
  </si>
  <si>
    <t>fiscal apoio</t>
  </si>
  <si>
    <t>gerencia apoio</t>
  </si>
  <si>
    <t>latam apoio</t>
  </si>
  <si>
    <t>marketing apoio</t>
  </si>
  <si>
    <t>revenda apoio</t>
  </si>
  <si>
    <t>ti apoio</t>
  </si>
  <si>
    <t>Area_ID</t>
  </si>
  <si>
    <t>X</t>
  </si>
  <si>
    <t>Y</t>
  </si>
  <si>
    <t>alta_adm</t>
  </si>
  <si>
    <t>rd</t>
  </si>
  <si>
    <t>qa</t>
  </si>
  <si>
    <t>qc</t>
  </si>
  <si>
    <t>reclamacoes</t>
  </si>
  <si>
    <t>compras</t>
  </si>
  <si>
    <t>producao</t>
  </si>
  <si>
    <t>logistica</t>
  </si>
  <si>
    <t>assistencia</t>
  </si>
  <si>
    <t>sst</t>
  </si>
  <si>
    <t>ab_apoio</t>
  </si>
  <si>
    <t>administrativo_apoio</t>
  </si>
  <si>
    <t>atendimento_apoio</t>
  </si>
  <si>
    <t>contabilidade_apoio</t>
  </si>
  <si>
    <t>expansao_apoio</t>
  </si>
  <si>
    <t>financas_apoio</t>
  </si>
  <si>
    <t>fiscal_apoio</t>
  </si>
  <si>
    <t>gerencia_apoio</t>
  </si>
  <si>
    <t>latam_apoio</t>
  </si>
  <si>
    <t>marketing_apoio</t>
  </si>
  <si>
    <t>revenda_apoio</t>
  </si>
  <si>
    <t>ti_apoio</t>
  </si>
  <si>
    <t>Observação</t>
  </si>
  <si>
    <t>As áreas de apoio foram posicionadas em uma faixa inferior única na aba Node_Positions. Atenção: o HTML atual precisa ler/importar Node_Positions para aplicar essas coordenadas automaticamente.</t>
  </si>
  <si>
    <t>Mapeamentos adicionados na aba Area_Map para áreas de RDC apoio e RH.</t>
  </si>
  <si>
    <t>Se uma nova área de apoio entrar no organograma, use a coluna Area_TXT para informar a palavra-chave que vai casar com o TXT.</t>
  </si>
  <si>
    <t>Nome1</t>
  </si>
  <si>
    <t>Nome2</t>
  </si>
  <si>
    <t>Nome3</t>
  </si>
  <si>
    <t>Nome4</t>
  </si>
  <si>
    <t>Nome5</t>
  </si>
  <si>
    <t>Nome6</t>
  </si>
  <si>
    <t>Nome7</t>
  </si>
  <si>
    <t>Nome8</t>
  </si>
  <si>
    <t>Nome9</t>
  </si>
  <si>
    <t>Nome10</t>
  </si>
  <si>
    <t>Nome11</t>
  </si>
  <si>
    <t>Nome12</t>
  </si>
  <si>
    <t>Nome13</t>
  </si>
  <si>
    <t>Nome14</t>
  </si>
  <si>
    <t>Nome15</t>
  </si>
  <si>
    <t>Nome16</t>
  </si>
  <si>
    <t>Nome17</t>
  </si>
  <si>
    <t>Nome18</t>
  </si>
  <si>
    <t>Nome19</t>
  </si>
  <si>
    <t>Nome20</t>
  </si>
  <si>
    <t>Nome21</t>
  </si>
  <si>
    <t>Nome22</t>
  </si>
  <si>
    <t>Nome23</t>
  </si>
  <si>
    <t>Nome24</t>
  </si>
  <si>
    <t>Nome25</t>
  </si>
  <si>
    <t>Nome26</t>
  </si>
  <si>
    <t>Nome27</t>
  </si>
  <si>
    <t>Nome28</t>
  </si>
  <si>
    <t>Nome29</t>
  </si>
  <si>
    <t>Nome30</t>
  </si>
  <si>
    <t>Nome31</t>
  </si>
  <si>
    <t>Nome32</t>
  </si>
  <si>
    <t>Nome33</t>
  </si>
  <si>
    <t>Nome34</t>
  </si>
  <si>
    <t>Nome35</t>
  </si>
  <si>
    <t>Nome36</t>
  </si>
  <si>
    <t>Nome37</t>
  </si>
  <si>
    <t>Nome38</t>
  </si>
  <si>
    <t>Nome39</t>
  </si>
  <si>
    <t>Nome40</t>
  </si>
  <si>
    <t>Nome41</t>
  </si>
  <si>
    <t>Nome42</t>
  </si>
  <si>
    <t>Nome43</t>
  </si>
  <si>
    <t>Nome44</t>
  </si>
  <si>
    <t>Nome45</t>
  </si>
  <si>
    <t>Nome46</t>
  </si>
  <si>
    <t>Nome47</t>
  </si>
  <si>
    <t>Nome48</t>
  </si>
  <si>
    <t>Nome49</t>
  </si>
  <si>
    <t>Nome50</t>
  </si>
  <si>
    <t>Nome51</t>
  </si>
  <si>
    <t>Nome52</t>
  </si>
  <si>
    <t>Nome53</t>
  </si>
  <si>
    <t>Nome54</t>
  </si>
  <si>
    <t>Nome55</t>
  </si>
  <si>
    <t>Nome56</t>
  </si>
  <si>
    <t>Nome57</t>
  </si>
  <si>
    <t>Nome58</t>
  </si>
  <si>
    <t>Nome59</t>
  </si>
  <si>
    <t>Nome60</t>
  </si>
  <si>
    <t>Nome61</t>
  </si>
  <si>
    <t>Nome62</t>
  </si>
  <si>
    <t>Nome63</t>
  </si>
  <si>
    <t>Nome64</t>
  </si>
  <si>
    <t>Nome65</t>
  </si>
  <si>
    <t>Nome66</t>
  </si>
  <si>
    <t>Nome67</t>
  </si>
  <si>
    <t>Nome68</t>
  </si>
  <si>
    <t>Nome69</t>
  </si>
  <si>
    <t>Nome70</t>
  </si>
  <si>
    <t>Nome71</t>
  </si>
  <si>
    <t>Nome72</t>
  </si>
  <si>
    <t>Nome73</t>
  </si>
  <si>
    <t>Nome74</t>
  </si>
  <si>
    <t>Nome75</t>
  </si>
  <si>
    <t>Nome76</t>
  </si>
  <si>
    <t>Nome77</t>
  </si>
  <si>
    <t>Nome78</t>
  </si>
  <si>
    <t>Nome79</t>
  </si>
  <si>
    <t>Nome80</t>
  </si>
  <si>
    <t>Nome81</t>
  </si>
  <si>
    <t>Nome82</t>
  </si>
  <si>
    <t>Nome83</t>
  </si>
  <si>
    <t>Nome84</t>
  </si>
  <si>
    <t>Nome85</t>
  </si>
  <si>
    <t>Nome86</t>
  </si>
  <si>
    <t>Nome87</t>
  </si>
  <si>
    <t>Nome88</t>
  </si>
  <si>
    <t>Nome89</t>
  </si>
  <si>
    <t>Nome90</t>
  </si>
  <si>
    <t>Nome91</t>
  </si>
  <si>
    <t>Nome92</t>
  </si>
  <si>
    <t>Nome93</t>
  </si>
  <si>
    <t>Nome94</t>
  </si>
  <si>
    <t>Nome95</t>
  </si>
  <si>
    <t>Nome96</t>
  </si>
  <si>
    <t>Nome97</t>
  </si>
  <si>
    <t>Nome98</t>
  </si>
  <si>
    <t>Nome99</t>
  </si>
  <si>
    <t>Nome100</t>
  </si>
  <si>
    <t>Nome101</t>
  </si>
  <si>
    <t>Nome102</t>
  </si>
  <si>
    <t>Nome103</t>
  </si>
  <si>
    <t>Nome104</t>
  </si>
  <si>
    <t>Nome105</t>
  </si>
  <si>
    <t>Nome106</t>
  </si>
  <si>
    <t>Nome107</t>
  </si>
  <si>
    <t>Nome108</t>
  </si>
  <si>
    <t>Nome109</t>
  </si>
  <si>
    <t>Nome110</t>
  </si>
  <si>
    <t>Nome111</t>
  </si>
  <si>
    <t>Nome112</t>
  </si>
  <si>
    <t>Nome113</t>
  </si>
  <si>
    <t>Nome114</t>
  </si>
  <si>
    <t>Nome115</t>
  </si>
  <si>
    <t>Nome116</t>
  </si>
  <si>
    <t>Nome117</t>
  </si>
  <si>
    <t>Nome118</t>
  </si>
  <si>
    <t>Nome119</t>
  </si>
  <si>
    <t>Nome120</t>
  </si>
  <si>
    <t>Nome121</t>
  </si>
  <si>
    <t>Nome122</t>
  </si>
  <si>
    <t>Nome123</t>
  </si>
  <si>
    <t>Nome124</t>
  </si>
  <si>
    <t>Nome125</t>
  </si>
  <si>
    <t>Nome126</t>
  </si>
  <si>
    <t>Nome127</t>
  </si>
  <si>
    <t>Nome128</t>
  </si>
  <si>
    <t>Nome129</t>
  </si>
  <si>
    <t>Nome130</t>
  </si>
  <si>
    <t>Nome131</t>
  </si>
  <si>
    <t>Nome132</t>
  </si>
  <si>
    <t>Nome133</t>
  </si>
  <si>
    <t>Nome134</t>
  </si>
  <si>
    <t>Nome135</t>
  </si>
  <si>
    <t>Nome136</t>
  </si>
  <si>
    <t>Nome137</t>
  </si>
  <si>
    <t>Nome138</t>
  </si>
  <si>
    <t>Nome139</t>
  </si>
  <si>
    <t>Nome140</t>
  </si>
  <si>
    <t>Nome141</t>
  </si>
  <si>
    <t>Nome142</t>
  </si>
  <si>
    <t>Nome143</t>
  </si>
  <si>
    <t>Nome144</t>
  </si>
  <si>
    <t>Nome145</t>
  </si>
  <si>
    <t>Nome146</t>
  </si>
  <si>
    <t>Nome147</t>
  </si>
  <si>
    <t>Nome148</t>
  </si>
  <si>
    <t>Nome149</t>
  </si>
  <si>
    <t>Nome150</t>
  </si>
  <si>
    <t>Nome151</t>
  </si>
  <si>
    <t>Nome152</t>
  </si>
  <si>
    <t>Nome153</t>
  </si>
  <si>
    <t>Nome154</t>
  </si>
  <si>
    <t>Nome155</t>
  </si>
  <si>
    <t>Nome156</t>
  </si>
  <si>
    <t>Nome157</t>
  </si>
  <si>
    <t>Nome158</t>
  </si>
  <si>
    <t>Nome159</t>
  </si>
  <si>
    <t>Nome160</t>
  </si>
  <si>
    <t>Nome161</t>
  </si>
  <si>
    <t>Nome162</t>
  </si>
  <si>
    <t>Função1</t>
  </si>
  <si>
    <t>Função2</t>
  </si>
  <si>
    <t>Função3</t>
  </si>
  <si>
    <t>Função4</t>
  </si>
  <si>
    <t>Função5</t>
  </si>
  <si>
    <t>Função6</t>
  </si>
  <si>
    <t>Função7</t>
  </si>
  <si>
    <t>Função8</t>
  </si>
  <si>
    <t>Função9</t>
  </si>
  <si>
    <t>Função10</t>
  </si>
  <si>
    <t>Função11</t>
  </si>
  <si>
    <t>Função12</t>
  </si>
  <si>
    <t>Função13</t>
  </si>
  <si>
    <t>Função14</t>
  </si>
  <si>
    <t>Função15</t>
  </si>
  <si>
    <t>Função16</t>
  </si>
  <si>
    <t>Função17</t>
  </si>
  <si>
    <t>Função18</t>
  </si>
  <si>
    <t>Função19</t>
  </si>
  <si>
    <t>Função20</t>
  </si>
  <si>
    <t>Função21</t>
  </si>
  <si>
    <t>Função22</t>
  </si>
  <si>
    <t>Função23</t>
  </si>
  <si>
    <t>Função24</t>
  </si>
  <si>
    <t>Função25</t>
  </si>
  <si>
    <t>Função26</t>
  </si>
  <si>
    <t>Função27</t>
  </si>
  <si>
    <t>Função28</t>
  </si>
  <si>
    <t>Função29</t>
  </si>
  <si>
    <t>Função30</t>
  </si>
  <si>
    <t>Função31</t>
  </si>
  <si>
    <t>Função32</t>
  </si>
  <si>
    <t>Função33</t>
  </si>
  <si>
    <t>Função34</t>
  </si>
  <si>
    <t>Função35</t>
  </si>
  <si>
    <t>Função36</t>
  </si>
  <si>
    <t>Função37</t>
  </si>
  <si>
    <t>Função38</t>
  </si>
  <si>
    <t>Função39</t>
  </si>
  <si>
    <t>Função40</t>
  </si>
  <si>
    <t>Função41</t>
  </si>
  <si>
    <t>Função42</t>
  </si>
  <si>
    <t>Função43</t>
  </si>
  <si>
    <t>Função44</t>
  </si>
  <si>
    <t>Função45</t>
  </si>
  <si>
    <t>Função46</t>
  </si>
  <si>
    <t>Função47</t>
  </si>
  <si>
    <t>Função48</t>
  </si>
  <si>
    <t>Função49</t>
  </si>
  <si>
    <t>Função50</t>
  </si>
  <si>
    <t>Função51</t>
  </si>
  <si>
    <t>Função52</t>
  </si>
  <si>
    <t>Função53</t>
  </si>
  <si>
    <t>Função54</t>
  </si>
  <si>
    <t>Função55</t>
  </si>
  <si>
    <t>Função56</t>
  </si>
  <si>
    <t>Função57</t>
  </si>
  <si>
    <t>Função58</t>
  </si>
  <si>
    <t>Função59</t>
  </si>
  <si>
    <t>Função60</t>
  </si>
  <si>
    <t>Função61</t>
  </si>
  <si>
    <t>Função62</t>
  </si>
  <si>
    <t>Função63</t>
  </si>
  <si>
    <t>Função64</t>
  </si>
  <si>
    <t>Função65</t>
  </si>
  <si>
    <t>Função66</t>
  </si>
  <si>
    <t>Função67</t>
  </si>
  <si>
    <t>Função68</t>
  </si>
  <si>
    <t>Função69</t>
  </si>
  <si>
    <t>Função70</t>
  </si>
  <si>
    <t>Função71</t>
  </si>
  <si>
    <t>Função72</t>
  </si>
  <si>
    <t>Função73</t>
  </si>
  <si>
    <t>Função74</t>
  </si>
  <si>
    <t>Função75</t>
  </si>
  <si>
    <t>Função76</t>
  </si>
  <si>
    <t>Função77</t>
  </si>
  <si>
    <t>Função78</t>
  </si>
  <si>
    <t>Função79</t>
  </si>
  <si>
    <t>Função80</t>
  </si>
  <si>
    <t>Função81</t>
  </si>
  <si>
    <t>Função82</t>
  </si>
  <si>
    <t>Função83</t>
  </si>
  <si>
    <t>Função84</t>
  </si>
  <si>
    <t>Função85</t>
  </si>
  <si>
    <t>Função86</t>
  </si>
  <si>
    <t>Função87</t>
  </si>
  <si>
    <t>Função88</t>
  </si>
  <si>
    <t>Função89</t>
  </si>
  <si>
    <t>Função90</t>
  </si>
  <si>
    <t>Função91</t>
  </si>
  <si>
    <t>Função92</t>
  </si>
  <si>
    <t>Função93</t>
  </si>
  <si>
    <t>Função94</t>
  </si>
  <si>
    <t>Função95</t>
  </si>
  <si>
    <t>Função96</t>
  </si>
  <si>
    <t>Função97</t>
  </si>
  <si>
    <t>Função98</t>
  </si>
  <si>
    <t>Função99</t>
  </si>
  <si>
    <t>Função100</t>
  </si>
  <si>
    <t>Função101</t>
  </si>
  <si>
    <t>Função102</t>
  </si>
  <si>
    <t>Função103</t>
  </si>
  <si>
    <t>Função104</t>
  </si>
  <si>
    <t>Função105</t>
  </si>
  <si>
    <t>Função106</t>
  </si>
  <si>
    <t>Função107</t>
  </si>
  <si>
    <t>Função108</t>
  </si>
  <si>
    <t>Função109</t>
  </si>
  <si>
    <t>Função110</t>
  </si>
  <si>
    <t>Função111</t>
  </si>
  <si>
    <t>Função112</t>
  </si>
  <si>
    <t>Função113</t>
  </si>
  <si>
    <t>Função114</t>
  </si>
  <si>
    <t>Função115</t>
  </si>
  <si>
    <t>Função116</t>
  </si>
  <si>
    <t>Função117</t>
  </si>
  <si>
    <t>Função118</t>
  </si>
  <si>
    <t>Função119</t>
  </si>
  <si>
    <t>Função120</t>
  </si>
  <si>
    <t>Função121</t>
  </si>
  <si>
    <t>Função122</t>
  </si>
  <si>
    <t>Função123</t>
  </si>
  <si>
    <t>Função124</t>
  </si>
  <si>
    <t>Função125</t>
  </si>
  <si>
    <t>Função126</t>
  </si>
  <si>
    <t>Função127</t>
  </si>
  <si>
    <t>Função128</t>
  </si>
  <si>
    <t>Função129</t>
  </si>
  <si>
    <t>Função130</t>
  </si>
  <si>
    <t>Função131</t>
  </si>
  <si>
    <t>Função132</t>
  </si>
  <si>
    <t>Função133</t>
  </si>
  <si>
    <t>Função134</t>
  </si>
  <si>
    <t>Função135</t>
  </si>
  <si>
    <t>Função136</t>
  </si>
  <si>
    <t>Função137</t>
  </si>
  <si>
    <t>Função138</t>
  </si>
  <si>
    <t>Função139</t>
  </si>
  <si>
    <t>Função140</t>
  </si>
  <si>
    <t>Função141</t>
  </si>
  <si>
    <t>Função142</t>
  </si>
  <si>
    <t>Função143</t>
  </si>
  <si>
    <t>Função144</t>
  </si>
  <si>
    <t>Função145</t>
  </si>
  <si>
    <t>Função146</t>
  </si>
  <si>
    <t>Função147</t>
  </si>
  <si>
    <t>Função148</t>
  </si>
  <si>
    <t>Função149</t>
  </si>
  <si>
    <t>Função150</t>
  </si>
  <si>
    <t>Função151</t>
  </si>
  <si>
    <t>Função152</t>
  </si>
  <si>
    <t>Função153</t>
  </si>
  <si>
    <t>Função154</t>
  </si>
  <si>
    <t>Função155</t>
  </si>
  <si>
    <t>Função156</t>
  </si>
  <si>
    <t>Função157</t>
  </si>
  <si>
    <t>Função158</t>
  </si>
  <si>
    <t>Função159</t>
  </si>
  <si>
    <t>Função160</t>
  </si>
  <si>
    <t>Função161</t>
  </si>
  <si>
    <t>Função162</t>
  </si>
  <si>
    <t>Chefia1</t>
  </si>
  <si>
    <t>Chefia2</t>
  </si>
  <si>
    <t>Chefia3</t>
  </si>
  <si>
    <t>Chefia4</t>
  </si>
  <si>
    <t>Chefia5</t>
  </si>
  <si>
    <t>Chefia6</t>
  </si>
  <si>
    <t>Chefia7</t>
  </si>
  <si>
    <t>Chefia8</t>
  </si>
  <si>
    <t>Chefia9</t>
  </si>
  <si>
    <t>Chefia10</t>
  </si>
  <si>
    <t>Chefia11</t>
  </si>
  <si>
    <t>Chefia12</t>
  </si>
  <si>
    <t>Chefia13</t>
  </si>
  <si>
    <t>Chefia14</t>
  </si>
  <si>
    <t>Chefia15</t>
  </si>
  <si>
    <t>Chefia16</t>
  </si>
  <si>
    <t>Chefia17</t>
  </si>
  <si>
    <t>Chefia18</t>
  </si>
  <si>
    <t>Chefia19</t>
  </si>
  <si>
    <t>Chefia20</t>
  </si>
  <si>
    <t>Chefia21</t>
  </si>
  <si>
    <t>Chefia22</t>
  </si>
  <si>
    <t>Chefia23</t>
  </si>
  <si>
    <t>Chefia24</t>
  </si>
  <si>
    <t>Chefia25</t>
  </si>
  <si>
    <t>Chefia26</t>
  </si>
  <si>
    <t>Chefia27</t>
  </si>
  <si>
    <t>Chefia28</t>
  </si>
  <si>
    <t>Chefia29</t>
  </si>
  <si>
    <t>Chefia30</t>
  </si>
  <si>
    <t>Chefia31</t>
  </si>
  <si>
    <t>Chefia32</t>
  </si>
  <si>
    <t>Chefia33</t>
  </si>
  <si>
    <t>Chefia34</t>
  </si>
  <si>
    <t>Chefia35</t>
  </si>
  <si>
    <t>Chefia36</t>
  </si>
  <si>
    <t>Chefia37</t>
  </si>
  <si>
    <t>Chefia38</t>
  </si>
  <si>
    <t>Chefia39</t>
  </si>
  <si>
    <t>Chefia40</t>
  </si>
  <si>
    <t>Chefia41</t>
  </si>
  <si>
    <t>Chefia42</t>
  </si>
  <si>
    <t>Chefia43</t>
  </si>
  <si>
    <t>Chefia44</t>
  </si>
  <si>
    <t>Chefia45</t>
  </si>
  <si>
    <t>Chefia46</t>
  </si>
  <si>
    <t>Chefia47</t>
  </si>
  <si>
    <t>Chefia48</t>
  </si>
  <si>
    <t>Chefia49</t>
  </si>
  <si>
    <t>Chefia50</t>
  </si>
  <si>
    <t>Chefia51</t>
  </si>
  <si>
    <t>Chefia52</t>
  </si>
  <si>
    <t>Chefia53</t>
  </si>
  <si>
    <t>Chefia54</t>
  </si>
  <si>
    <t>Chefia55</t>
  </si>
  <si>
    <t>Chefia56</t>
  </si>
  <si>
    <t>Chefia57</t>
  </si>
  <si>
    <t>Chefia58</t>
  </si>
  <si>
    <t>Chefia59</t>
  </si>
  <si>
    <t>Chefia60</t>
  </si>
  <si>
    <t>Chefia61</t>
  </si>
  <si>
    <t>Chefia62</t>
  </si>
  <si>
    <t>Chefia63</t>
  </si>
  <si>
    <t>Chefia64</t>
  </si>
  <si>
    <t>Chefia65</t>
  </si>
  <si>
    <t>Chefia66</t>
  </si>
  <si>
    <t>Chefia67</t>
  </si>
  <si>
    <t>Chefia68</t>
  </si>
  <si>
    <t>Chefia69</t>
  </si>
  <si>
    <t>Chefia70</t>
  </si>
  <si>
    <t>Chefia71</t>
  </si>
  <si>
    <t>Chefia72</t>
  </si>
  <si>
    <t>Chefia73</t>
  </si>
  <si>
    <t>Chefia74</t>
  </si>
  <si>
    <t>Chefia75</t>
  </si>
  <si>
    <t>Chefia76</t>
  </si>
  <si>
    <t>Chefia77</t>
  </si>
  <si>
    <t>Chefia78</t>
  </si>
  <si>
    <t>Chefia79</t>
  </si>
  <si>
    <t>Chefia80</t>
  </si>
  <si>
    <t>Chefia81</t>
  </si>
  <si>
    <t>Chefia82</t>
  </si>
  <si>
    <t>Chefia83</t>
  </si>
  <si>
    <t>Chefia84</t>
  </si>
  <si>
    <t>Chefia85</t>
  </si>
  <si>
    <t>Chefia86</t>
  </si>
  <si>
    <t>Chefia87</t>
  </si>
  <si>
    <t>Chefia88</t>
  </si>
  <si>
    <t>Chefia89</t>
  </si>
  <si>
    <t>Chefia90</t>
  </si>
  <si>
    <t>Chefia91</t>
  </si>
  <si>
    <t>Chefia92</t>
  </si>
  <si>
    <t>Chefia93</t>
  </si>
  <si>
    <t>Chefia94</t>
  </si>
  <si>
    <t>Chefia95</t>
  </si>
  <si>
    <t>Chefia96</t>
  </si>
  <si>
    <t>Chefia97</t>
  </si>
  <si>
    <t>Chefia98</t>
  </si>
  <si>
    <t>Chefia99</t>
  </si>
  <si>
    <t>Chefia100</t>
  </si>
  <si>
    <t>Chefia101</t>
  </si>
  <si>
    <t>Chefia102</t>
  </si>
  <si>
    <t>Chefia103</t>
  </si>
  <si>
    <t>Chefia104</t>
  </si>
  <si>
    <t>Chefia105</t>
  </si>
  <si>
    <t>Chefia106</t>
  </si>
  <si>
    <t>Chefia107</t>
  </si>
  <si>
    <t>Chefia108</t>
  </si>
  <si>
    <t>Chefia109</t>
  </si>
  <si>
    <t>Chefia110</t>
  </si>
  <si>
    <t>Chefia111</t>
  </si>
  <si>
    <t>Chefia112</t>
  </si>
  <si>
    <t>Chefia113</t>
  </si>
  <si>
    <t>Chefia114</t>
  </si>
  <si>
    <t>Chefia115</t>
  </si>
  <si>
    <t>Chefia116</t>
  </si>
  <si>
    <t>Chefia117</t>
  </si>
  <si>
    <t>Chefia118</t>
  </si>
  <si>
    <t>Chefia119</t>
  </si>
  <si>
    <t>Chefia120</t>
  </si>
  <si>
    <t>Chefia121</t>
  </si>
  <si>
    <t>Chefia122</t>
  </si>
  <si>
    <t>Chefia123</t>
  </si>
  <si>
    <t>Chefia124</t>
  </si>
  <si>
    <t>Chefia125</t>
  </si>
  <si>
    <t>Chefia126</t>
  </si>
  <si>
    <t>Chefia127</t>
  </si>
  <si>
    <t>Chefia128</t>
  </si>
  <si>
    <t>Chefia129</t>
  </si>
  <si>
    <t>Chefia130</t>
  </si>
  <si>
    <t>Chefia131</t>
  </si>
  <si>
    <t>Chefia132</t>
  </si>
  <si>
    <t>Chefia133</t>
  </si>
  <si>
    <t>Chefia134</t>
  </si>
  <si>
    <t>Chefia135</t>
  </si>
  <si>
    <t>Chefia136</t>
  </si>
  <si>
    <t>Chefia137</t>
  </si>
  <si>
    <t>Chefia138</t>
  </si>
  <si>
    <t>Chefia139</t>
  </si>
  <si>
    <t>Chefia140</t>
  </si>
  <si>
    <t>Chefia141</t>
  </si>
  <si>
    <t>Chefia142</t>
  </si>
  <si>
    <t>Chefia143</t>
  </si>
  <si>
    <t>Chefia144</t>
  </si>
  <si>
    <t>Chefia145</t>
  </si>
  <si>
    <t>Chefia146</t>
  </si>
  <si>
    <t>Chefia147</t>
  </si>
  <si>
    <t>Chefia148</t>
  </si>
  <si>
    <t>Chefia149</t>
  </si>
  <si>
    <t>Chefia150</t>
  </si>
  <si>
    <t>Chefia151</t>
  </si>
  <si>
    <t>Chefia152</t>
  </si>
  <si>
    <t>Chefia153</t>
  </si>
  <si>
    <t>Chefia154</t>
  </si>
  <si>
    <t>Chefia155</t>
  </si>
  <si>
    <t>Chefia156</t>
  </si>
  <si>
    <t>Chefia157</t>
  </si>
  <si>
    <t>Chefia158</t>
  </si>
  <si>
    <t>Chefia159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</si>
</sst>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63B"/>
      </patternFill>
    </fill>
    <fill>
      <patternFill patternType="solid">
        <fgColor rgb="FFD9EAF7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2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tabSelected="1" workbookViewId="0">
      <pane ySplit="1" topLeftCell="A3" activePane="bottomLeft" state="frozen"/>
      <selection pane="bottomLeft" activeCell="F5" sqref="F5"/>
    </sheetView>
  </sheetViews>
  <sheetFormatPr defaultRowHeight="15" x14ac:dyDescent="0.25"/>
  <cols>
    <col min="1" max="1" width="21" customWidth="1"/>
    <col min="2" max="2" width="14" customWidth="1"/>
    <col min="3" max="3" width="27" customWidth="1"/>
    <col min="4" max="4" width="24" customWidth="1"/>
    <col min="5" max="5" width="22" customWidth="1"/>
    <col min="6" max="6" width="2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t="s">
        <v>8</v>
      </c>
      <c r="B2">
        <v>362</v>
      </c>
      <c r="C2" t="s">
        <v>123</v>
      </c>
      <c r="D2" t="s">
        <v>285</v>
      </c>
      <c r="G2" t="s">
        <v>9</v>
      </c>
      <c r="H2" t="str">
        <f>IFERROR(INDEX(Area_Map!$C:$C,MATCH(A2,Area_Map!$A:$A,0)),"Fora RDC")</f>
        <v>RDC</v>
      </c>
    </row>
    <row r="3" spans="1:8" x14ac:dyDescent="0.25">
      <c r="A3" t="s">
        <v>8</v>
      </c>
      <c r="B3">
        <v>1171</v>
      </c>
      <c r="C3" t="s">
        <v>124</v>
      </c>
      <c r="D3" t="s">
        <v>286</v>
      </c>
      <c r="G3" t="s">
        <v>10</v>
      </c>
      <c r="H3" t="str">
        <f>IFERROR(INDEX(Area_Map!$C:$C,MATCH(A3,Area_Map!$A:$A,0)),"Fora RDC")</f>
        <v>RDC</v>
      </c>
    </row>
    <row r="4" spans="1:8" x14ac:dyDescent="0.25">
      <c r="A4" t="s">
        <v>8</v>
      </c>
      <c r="B4">
        <v>775</v>
      </c>
      <c r="C4" t="s">
        <v>125</v>
      </c>
      <c r="D4" t="s">
        <v>287</v>
      </c>
      <c r="G4" t="s">
        <v>11</v>
      </c>
      <c r="H4" t="str">
        <f>IFERROR(INDEX(Area_Map!$C:$C,MATCH(A4,Area_Map!$A:$A,0)),"Fora RDC")</f>
        <v>RDC</v>
      </c>
    </row>
    <row r="5" spans="1:8" x14ac:dyDescent="0.25">
      <c r="A5" t="s">
        <v>12</v>
      </c>
      <c r="B5">
        <v>1213</v>
      </c>
      <c r="C5" t="s">
        <v>126</v>
      </c>
      <c r="D5" t="s">
        <v>288</v>
      </c>
      <c r="E5">
        <v>429</v>
      </c>
      <c r="F5" t="s">
        <v>447</v>
      </c>
      <c r="G5" t="s">
        <v>9</v>
      </c>
      <c r="H5" t="str">
        <f>IFERROR(INDEX(Area_Map!$C:$C,MATCH(A5,Area_Map!$A:$A,0)),"Fora RDC")</f>
        <v>RDC apoio</v>
      </c>
    </row>
    <row r="6" spans="1:8" x14ac:dyDescent="0.25">
      <c r="A6" t="s">
        <v>12</v>
      </c>
      <c r="B6">
        <v>431</v>
      </c>
      <c r="C6" t="s">
        <v>127</v>
      </c>
      <c r="D6" t="s">
        <v>289</v>
      </c>
      <c r="E6">
        <v>309</v>
      </c>
      <c r="F6" t="s">
        <v>448</v>
      </c>
      <c r="G6" t="s">
        <v>9</v>
      </c>
      <c r="H6" t="str">
        <f>IFERROR(INDEX(Area_Map!$C:$C,MATCH(A6,Area_Map!$A:$A,0)),"Fora RDC")</f>
        <v>RDC apoio</v>
      </c>
    </row>
    <row r="7" spans="1:8" x14ac:dyDescent="0.25">
      <c r="A7" t="s">
        <v>12</v>
      </c>
      <c r="B7">
        <v>429</v>
      </c>
      <c r="C7" t="s">
        <v>128</v>
      </c>
      <c r="D7" t="s">
        <v>290</v>
      </c>
      <c r="E7">
        <v>362</v>
      </c>
      <c r="F7" t="s">
        <v>449</v>
      </c>
      <c r="G7" t="s">
        <v>9</v>
      </c>
      <c r="H7" t="str">
        <f>IFERROR(INDEX(Area_Map!$C:$C,MATCH(A7,Area_Map!$A:$A,0)),"Fora RDC")</f>
        <v>RDC apoio</v>
      </c>
    </row>
    <row r="8" spans="1:8" x14ac:dyDescent="0.25">
      <c r="A8" t="s">
        <v>12</v>
      </c>
      <c r="B8">
        <v>430</v>
      </c>
      <c r="C8" t="s">
        <v>129</v>
      </c>
      <c r="D8" t="s">
        <v>291</v>
      </c>
      <c r="E8">
        <v>362</v>
      </c>
      <c r="F8" t="s">
        <v>450</v>
      </c>
      <c r="G8" t="s">
        <v>9</v>
      </c>
      <c r="H8" t="str">
        <f>IFERROR(INDEX(Area_Map!$C:$C,MATCH(A8,Area_Map!$A:$A,0)),"Fora RDC")</f>
        <v>RDC apoio</v>
      </c>
    </row>
    <row r="9" spans="1:8" x14ac:dyDescent="0.25">
      <c r="A9" t="s">
        <v>12</v>
      </c>
      <c r="B9">
        <v>428</v>
      </c>
      <c r="C9" t="s">
        <v>130</v>
      </c>
      <c r="D9" t="s">
        <v>292</v>
      </c>
      <c r="E9">
        <v>429</v>
      </c>
      <c r="F9" t="s">
        <v>451</v>
      </c>
      <c r="G9" t="s">
        <v>9</v>
      </c>
      <c r="H9" t="str">
        <f>IFERROR(INDEX(Area_Map!$C:$C,MATCH(A9,Area_Map!$A:$A,0)),"Fora RDC")</f>
        <v>RDC apoio</v>
      </c>
    </row>
    <row r="10" spans="1:8" x14ac:dyDescent="0.25">
      <c r="A10" t="s">
        <v>12</v>
      </c>
      <c r="B10">
        <v>309</v>
      </c>
      <c r="C10" t="s">
        <v>131</v>
      </c>
      <c r="D10" t="s">
        <v>293</v>
      </c>
      <c r="E10">
        <v>362</v>
      </c>
      <c r="F10" t="s">
        <v>452</v>
      </c>
      <c r="G10" t="s">
        <v>9</v>
      </c>
      <c r="H10" t="str">
        <f>IFERROR(INDEX(Area_Map!$C:$C,MATCH(A10,Area_Map!$A:$A,0)),"Fora RDC")</f>
        <v>RDC apoio</v>
      </c>
    </row>
    <row r="11" spans="1:8" x14ac:dyDescent="0.25">
      <c r="A11" t="s">
        <v>13</v>
      </c>
      <c r="B11">
        <v>11316</v>
      </c>
      <c r="C11" t="s">
        <v>132</v>
      </c>
      <c r="D11" t="s">
        <v>294</v>
      </c>
      <c r="E11">
        <v>11700</v>
      </c>
      <c r="F11" t="s">
        <v>453</v>
      </c>
      <c r="G11" t="s">
        <v>14</v>
      </c>
      <c r="H11" t="str">
        <f>IFERROR(INDEX(Area_Map!$C:$C,MATCH(A11,Area_Map!$A:$A,0)),"Fora RDC")</f>
        <v>RDC apoio</v>
      </c>
    </row>
    <row r="12" spans="1:8" x14ac:dyDescent="0.25">
      <c r="A12" t="s">
        <v>13</v>
      </c>
      <c r="B12">
        <v>11633</v>
      </c>
      <c r="C12" t="s">
        <v>133</v>
      </c>
      <c r="D12" t="s">
        <v>295</v>
      </c>
      <c r="E12">
        <v>296</v>
      </c>
      <c r="F12" t="s">
        <v>454</v>
      </c>
      <c r="G12" t="s">
        <v>14</v>
      </c>
      <c r="H12" t="str">
        <f>IFERROR(INDEX(Area_Map!$C:$C,MATCH(A12,Area_Map!$A:$A,0)),"Fora RDC")</f>
        <v>RDC apoio</v>
      </c>
    </row>
    <row r="13" spans="1:8" x14ac:dyDescent="0.25">
      <c r="A13" t="s">
        <v>13</v>
      </c>
      <c r="B13">
        <v>11790</v>
      </c>
      <c r="C13" t="s">
        <v>134</v>
      </c>
      <c r="D13" t="s">
        <v>296</v>
      </c>
      <c r="E13">
        <v>11700</v>
      </c>
      <c r="F13" t="s">
        <v>455</v>
      </c>
      <c r="G13" t="s">
        <v>14</v>
      </c>
      <c r="H13" t="str">
        <f>IFERROR(INDEX(Area_Map!$C:$C,MATCH(A13,Area_Map!$A:$A,0)),"Fora RDC")</f>
        <v>RDC apoio</v>
      </c>
    </row>
    <row r="14" spans="1:8" x14ac:dyDescent="0.25">
      <c r="A14" t="s">
        <v>13</v>
      </c>
      <c r="B14">
        <v>676</v>
      </c>
      <c r="C14" t="s">
        <v>135</v>
      </c>
      <c r="D14" t="s">
        <v>297</v>
      </c>
      <c r="E14">
        <v>296</v>
      </c>
      <c r="F14" t="s">
        <v>456</v>
      </c>
      <c r="G14" t="s">
        <v>14</v>
      </c>
      <c r="H14" t="str">
        <f>IFERROR(INDEX(Area_Map!$C:$C,MATCH(A14,Area_Map!$A:$A,0)),"Fora RDC")</f>
        <v>RDC apoio</v>
      </c>
    </row>
    <row r="15" spans="1:8" x14ac:dyDescent="0.25">
      <c r="A15" t="s">
        <v>13</v>
      </c>
      <c r="B15">
        <v>296</v>
      </c>
      <c r="C15" t="s">
        <v>136</v>
      </c>
      <c r="D15" t="s">
        <v>298</v>
      </c>
      <c r="E15">
        <v>11700</v>
      </c>
      <c r="F15" t="s">
        <v>457</v>
      </c>
      <c r="G15" t="s">
        <v>14</v>
      </c>
      <c r="H15" t="str">
        <f>IFERROR(INDEX(Area_Map!$C:$C,MATCH(A15,Area_Map!$A:$A,0)),"Fora RDC")</f>
        <v>RDC apoio</v>
      </c>
    </row>
    <row r="16" spans="1:8" x14ac:dyDescent="0.25">
      <c r="A16" t="s">
        <v>13</v>
      </c>
      <c r="B16">
        <v>1132</v>
      </c>
      <c r="C16" t="s">
        <v>137</v>
      </c>
      <c r="D16" t="s">
        <v>299</v>
      </c>
      <c r="E16">
        <v>296</v>
      </c>
      <c r="F16" t="s">
        <v>458</v>
      </c>
      <c r="G16" t="s">
        <v>14</v>
      </c>
      <c r="H16" t="str">
        <f>IFERROR(INDEX(Area_Map!$C:$C,MATCH(A16,Area_Map!$A:$A,0)),"Fora RDC")</f>
        <v>RDC apoio</v>
      </c>
    </row>
    <row r="17" spans="1:8" x14ac:dyDescent="0.25">
      <c r="A17" t="s">
        <v>15</v>
      </c>
      <c r="B17">
        <v>478</v>
      </c>
      <c r="C17" t="s">
        <v>138</v>
      </c>
      <c r="D17" t="s">
        <v>300</v>
      </c>
      <c r="E17">
        <v>19</v>
      </c>
      <c r="F17" t="s">
        <v>459</v>
      </c>
      <c r="G17" t="s">
        <v>16</v>
      </c>
      <c r="H17" t="str">
        <f>IFERROR(INDEX(Area_Map!$C:$C,MATCH(A17,Area_Map!$A:$A,0)),"Fora RDC")</f>
        <v>RDC</v>
      </c>
    </row>
    <row r="18" spans="1:8" x14ac:dyDescent="0.25">
      <c r="A18" t="s">
        <v>15</v>
      </c>
      <c r="B18">
        <v>11355</v>
      </c>
      <c r="C18" t="s">
        <v>139</v>
      </c>
      <c r="D18" t="s">
        <v>301</v>
      </c>
      <c r="E18">
        <v>1187</v>
      </c>
      <c r="F18" t="s">
        <v>460</v>
      </c>
      <c r="G18" t="s">
        <v>17</v>
      </c>
      <c r="H18" t="str">
        <f>IFERROR(INDEX(Area_Map!$C:$C,MATCH(A18,Area_Map!$A:$A,0)),"Fora RDC")</f>
        <v>RDC</v>
      </c>
    </row>
    <row r="19" spans="1:8" x14ac:dyDescent="0.25">
      <c r="A19" t="s">
        <v>15</v>
      </c>
      <c r="B19">
        <v>11869</v>
      </c>
      <c r="C19" t="s">
        <v>140</v>
      </c>
      <c r="D19" t="s">
        <v>302</v>
      </c>
      <c r="E19">
        <v>19</v>
      </c>
      <c r="F19" t="s">
        <v>461</v>
      </c>
      <c r="G19" t="s">
        <v>16</v>
      </c>
      <c r="H19" t="str">
        <f>IFERROR(INDEX(Area_Map!$C:$C,MATCH(A19,Area_Map!$A:$A,0)),"Fora RDC")</f>
        <v>RDC</v>
      </c>
    </row>
    <row r="20" spans="1:8" x14ac:dyDescent="0.25">
      <c r="A20" t="s">
        <v>15</v>
      </c>
      <c r="B20">
        <v>789</v>
      </c>
      <c r="C20" t="s">
        <v>141</v>
      </c>
      <c r="D20" t="s">
        <v>303</v>
      </c>
      <c r="E20">
        <v>36</v>
      </c>
      <c r="F20" t="s">
        <v>462</v>
      </c>
      <c r="G20" t="s">
        <v>16</v>
      </c>
      <c r="H20" t="str">
        <f>IFERROR(INDEX(Area_Map!$C:$C,MATCH(A20,Area_Map!$A:$A,0)),"Fora RDC")</f>
        <v>RDC</v>
      </c>
    </row>
    <row r="21" spans="1:8" x14ac:dyDescent="0.25">
      <c r="A21" t="s">
        <v>15</v>
      </c>
      <c r="B21">
        <v>795</v>
      </c>
      <c r="C21" t="s">
        <v>142</v>
      </c>
      <c r="D21" t="s">
        <v>304</v>
      </c>
      <c r="E21">
        <v>19</v>
      </c>
      <c r="F21" t="s">
        <v>463</v>
      </c>
      <c r="G21" t="s">
        <v>16</v>
      </c>
      <c r="H21" t="str">
        <f>IFERROR(INDEX(Area_Map!$C:$C,MATCH(A21,Area_Map!$A:$A,0)),"Fora RDC")</f>
        <v>RDC</v>
      </c>
    </row>
    <row r="22" spans="1:8" x14ac:dyDescent="0.25">
      <c r="A22" t="s">
        <v>15</v>
      </c>
      <c r="B22">
        <v>312</v>
      </c>
      <c r="C22" t="s">
        <v>143</v>
      </c>
      <c r="D22" t="s">
        <v>305</v>
      </c>
      <c r="E22">
        <v>36</v>
      </c>
      <c r="F22" t="s">
        <v>464</v>
      </c>
      <c r="G22" t="s">
        <v>16</v>
      </c>
      <c r="H22" t="str">
        <f>IFERROR(INDEX(Area_Map!$C:$C,MATCH(A22,Area_Map!$A:$A,0)),"Fora RDC")</f>
        <v>RDC</v>
      </c>
    </row>
    <row r="23" spans="1:8" x14ac:dyDescent="0.25">
      <c r="A23" t="s">
        <v>15</v>
      </c>
      <c r="B23">
        <v>888</v>
      </c>
      <c r="C23" t="s">
        <v>144</v>
      </c>
      <c r="D23" t="s">
        <v>306</v>
      </c>
      <c r="E23">
        <v>36</v>
      </c>
      <c r="F23" t="s">
        <v>465</v>
      </c>
      <c r="G23" t="s">
        <v>16</v>
      </c>
      <c r="H23" t="str">
        <f>IFERROR(INDEX(Area_Map!$C:$C,MATCH(A23,Area_Map!$A:$A,0)),"Fora RDC")</f>
        <v>RDC</v>
      </c>
    </row>
    <row r="24" spans="1:8" x14ac:dyDescent="0.25">
      <c r="A24" t="s">
        <v>15</v>
      </c>
      <c r="B24">
        <v>36</v>
      </c>
      <c r="C24" t="s">
        <v>145</v>
      </c>
      <c r="D24" t="s">
        <v>307</v>
      </c>
      <c r="E24">
        <v>11785</v>
      </c>
      <c r="F24" t="s">
        <v>466</v>
      </c>
      <c r="G24" t="s">
        <v>16</v>
      </c>
      <c r="H24" t="str">
        <f>IFERROR(INDEX(Area_Map!$C:$C,MATCH(A24,Area_Map!$A:$A,0)),"Fora RDC")</f>
        <v>RDC</v>
      </c>
    </row>
    <row r="25" spans="1:8" x14ac:dyDescent="0.25">
      <c r="A25" t="s">
        <v>15</v>
      </c>
      <c r="B25">
        <v>561</v>
      </c>
      <c r="C25" t="s">
        <v>146</v>
      </c>
      <c r="D25" t="s">
        <v>308</v>
      </c>
      <c r="E25">
        <v>36</v>
      </c>
      <c r="F25" t="s">
        <v>467</v>
      </c>
      <c r="G25" t="s">
        <v>16</v>
      </c>
      <c r="H25" t="str">
        <f>IFERROR(INDEX(Area_Map!$C:$C,MATCH(A25,Area_Map!$A:$A,0)),"Fora RDC")</f>
        <v>RDC</v>
      </c>
    </row>
    <row r="26" spans="1:8" x14ac:dyDescent="0.25">
      <c r="A26" t="s">
        <v>15</v>
      </c>
      <c r="B26">
        <v>764</v>
      </c>
      <c r="C26" t="s">
        <v>147</v>
      </c>
      <c r="D26" t="s">
        <v>309</v>
      </c>
      <c r="E26">
        <v>36</v>
      </c>
      <c r="F26" t="s">
        <v>468</v>
      </c>
      <c r="G26" t="s">
        <v>16</v>
      </c>
      <c r="H26" t="str">
        <f>IFERROR(INDEX(Area_Map!$C:$C,MATCH(A26,Area_Map!$A:$A,0)),"Fora RDC")</f>
        <v>RDC</v>
      </c>
    </row>
    <row r="27" spans="1:8" x14ac:dyDescent="0.25">
      <c r="A27" t="s">
        <v>15</v>
      </c>
      <c r="B27">
        <v>980</v>
      </c>
      <c r="C27" t="s">
        <v>148</v>
      </c>
      <c r="D27" t="s">
        <v>310</v>
      </c>
      <c r="E27">
        <v>19</v>
      </c>
      <c r="F27" t="s">
        <v>469</v>
      </c>
      <c r="G27" t="s">
        <v>16</v>
      </c>
      <c r="H27" t="str">
        <f>IFERROR(INDEX(Area_Map!$C:$C,MATCH(A27,Area_Map!$A:$A,0)),"Fora RDC")</f>
        <v>RDC</v>
      </c>
    </row>
    <row r="28" spans="1:8" x14ac:dyDescent="0.25">
      <c r="A28" t="s">
        <v>18</v>
      </c>
      <c r="B28">
        <v>527</v>
      </c>
      <c r="C28" t="s">
        <v>149</v>
      </c>
      <c r="D28" t="s">
        <v>311</v>
      </c>
      <c r="E28">
        <v>324</v>
      </c>
      <c r="F28" t="s">
        <v>470</v>
      </c>
      <c r="G28" t="s">
        <v>19</v>
      </c>
      <c r="H28" t="str">
        <f>IFERROR(INDEX(Area_Map!$C:$C,MATCH(A28,Area_Map!$A:$A,0)),"Fora RDC")</f>
        <v>RDC apoio</v>
      </c>
    </row>
    <row r="29" spans="1:8" x14ac:dyDescent="0.25">
      <c r="A29" t="s">
        <v>18</v>
      </c>
      <c r="B29">
        <v>1136</v>
      </c>
      <c r="C29" t="s">
        <v>150</v>
      </c>
      <c r="D29" t="s">
        <v>312</v>
      </c>
      <c r="E29">
        <v>942</v>
      </c>
      <c r="F29" t="s">
        <v>471</v>
      </c>
      <c r="G29" t="s">
        <v>20</v>
      </c>
      <c r="H29" t="str">
        <f>IFERROR(INDEX(Area_Map!$C:$C,MATCH(A29,Area_Map!$A:$A,0)),"Fora RDC")</f>
        <v>RDC apoio</v>
      </c>
    </row>
    <row r="30" spans="1:8" x14ac:dyDescent="0.25">
      <c r="A30" t="s">
        <v>18</v>
      </c>
      <c r="B30">
        <v>681</v>
      </c>
      <c r="C30" t="s">
        <v>151</v>
      </c>
      <c r="D30" t="s">
        <v>313</v>
      </c>
      <c r="E30">
        <v>998</v>
      </c>
      <c r="F30" t="s">
        <v>472</v>
      </c>
      <c r="G30" t="s">
        <v>20</v>
      </c>
      <c r="H30" t="str">
        <f>IFERROR(INDEX(Area_Map!$C:$C,MATCH(A30,Area_Map!$A:$A,0)),"Fora RDC")</f>
        <v>RDC apoio</v>
      </c>
    </row>
    <row r="31" spans="1:8" x14ac:dyDescent="0.25">
      <c r="A31" t="s">
        <v>18</v>
      </c>
      <c r="B31">
        <v>11341</v>
      </c>
      <c r="C31" t="s">
        <v>152</v>
      </c>
      <c r="D31" t="s">
        <v>314</v>
      </c>
      <c r="E31">
        <v>942</v>
      </c>
      <c r="F31" t="s">
        <v>473</v>
      </c>
      <c r="G31" t="s">
        <v>20</v>
      </c>
      <c r="H31" t="str">
        <f>IFERROR(INDEX(Area_Map!$C:$C,MATCH(A31,Area_Map!$A:$A,0)),"Fora RDC")</f>
        <v>RDC apoio</v>
      </c>
    </row>
    <row r="32" spans="1:8" x14ac:dyDescent="0.25">
      <c r="A32" t="s">
        <v>18</v>
      </c>
      <c r="B32">
        <v>11340</v>
      </c>
      <c r="C32" t="s">
        <v>153</v>
      </c>
      <c r="D32" t="s">
        <v>315</v>
      </c>
      <c r="E32">
        <v>942</v>
      </c>
      <c r="F32" t="s">
        <v>474</v>
      </c>
      <c r="G32" t="s">
        <v>20</v>
      </c>
      <c r="H32" t="str">
        <f>IFERROR(INDEX(Area_Map!$C:$C,MATCH(A32,Area_Map!$A:$A,0)),"Fora RDC")</f>
        <v>RDC apoio</v>
      </c>
    </row>
    <row r="33" spans="1:8" x14ac:dyDescent="0.25">
      <c r="A33" t="s">
        <v>18</v>
      </c>
      <c r="B33">
        <v>11673</v>
      </c>
      <c r="C33" t="s">
        <v>154</v>
      </c>
      <c r="D33" t="s">
        <v>316</v>
      </c>
      <c r="E33">
        <v>942</v>
      </c>
      <c r="F33" t="s">
        <v>475</v>
      </c>
      <c r="G33" t="s">
        <v>20</v>
      </c>
      <c r="H33" t="str">
        <f>IFERROR(INDEX(Area_Map!$C:$C,MATCH(A33,Area_Map!$A:$A,0)),"Fora RDC")</f>
        <v>RDC apoio</v>
      </c>
    </row>
    <row r="34" spans="1:8" x14ac:dyDescent="0.25">
      <c r="A34" t="s">
        <v>18</v>
      </c>
      <c r="B34">
        <v>11672</v>
      </c>
      <c r="C34" t="s">
        <v>155</v>
      </c>
      <c r="D34" t="s">
        <v>317</v>
      </c>
      <c r="E34">
        <v>942</v>
      </c>
      <c r="F34" t="s">
        <v>476</v>
      </c>
      <c r="G34" t="s">
        <v>20</v>
      </c>
      <c r="H34" t="str">
        <f>IFERROR(INDEX(Area_Map!$C:$C,MATCH(A34,Area_Map!$A:$A,0)),"Fora RDC")</f>
        <v>RDC apoio</v>
      </c>
    </row>
    <row r="35" spans="1:8" x14ac:dyDescent="0.25">
      <c r="A35" t="s">
        <v>18</v>
      </c>
      <c r="B35">
        <v>11799</v>
      </c>
      <c r="C35" t="s">
        <v>156</v>
      </c>
      <c r="D35" t="s">
        <v>318</v>
      </c>
      <c r="E35">
        <v>942</v>
      </c>
      <c r="F35" t="s">
        <v>477</v>
      </c>
      <c r="G35" t="s">
        <v>21</v>
      </c>
      <c r="H35" t="str">
        <f>IFERROR(INDEX(Area_Map!$C:$C,MATCH(A35,Area_Map!$A:$A,0)),"Fora RDC")</f>
        <v>RDC apoio</v>
      </c>
    </row>
    <row r="36" spans="1:8" x14ac:dyDescent="0.25">
      <c r="A36" t="s">
        <v>18</v>
      </c>
      <c r="B36">
        <v>11343</v>
      </c>
      <c r="C36" t="s">
        <v>157</v>
      </c>
      <c r="D36" t="s">
        <v>319</v>
      </c>
      <c r="E36">
        <v>942</v>
      </c>
      <c r="F36" t="s">
        <v>478</v>
      </c>
      <c r="G36" t="s">
        <v>20</v>
      </c>
      <c r="H36" t="str">
        <f>IFERROR(INDEX(Area_Map!$C:$C,MATCH(A36,Area_Map!$A:$A,0)),"Fora RDC")</f>
        <v>RDC apoio</v>
      </c>
    </row>
    <row r="37" spans="1:8" x14ac:dyDescent="0.25">
      <c r="A37" t="s">
        <v>18</v>
      </c>
      <c r="B37">
        <v>1176</v>
      </c>
      <c r="C37" t="s">
        <v>158</v>
      </c>
      <c r="D37" t="s">
        <v>320</v>
      </c>
      <c r="E37">
        <v>324</v>
      </c>
      <c r="F37" t="s">
        <v>479</v>
      </c>
      <c r="G37" t="s">
        <v>19</v>
      </c>
      <c r="H37" t="str">
        <f>IFERROR(INDEX(Area_Map!$C:$C,MATCH(A37,Area_Map!$A:$A,0)),"Fora RDC")</f>
        <v>RDC apoio</v>
      </c>
    </row>
    <row r="38" spans="1:8" x14ac:dyDescent="0.25">
      <c r="A38" t="s">
        <v>18</v>
      </c>
      <c r="B38">
        <v>749</v>
      </c>
      <c r="C38" t="s">
        <v>159</v>
      </c>
      <c r="D38" t="s">
        <v>321</v>
      </c>
      <c r="E38">
        <v>881</v>
      </c>
      <c r="F38" t="s">
        <v>480</v>
      </c>
      <c r="G38" t="s">
        <v>22</v>
      </c>
      <c r="H38" t="str">
        <f>IFERROR(INDEX(Area_Map!$C:$C,MATCH(A38,Area_Map!$A:$A,0)),"Fora RDC")</f>
        <v>RDC apoio</v>
      </c>
    </row>
    <row r="39" spans="1:8" x14ac:dyDescent="0.25">
      <c r="A39" t="s">
        <v>18</v>
      </c>
      <c r="B39">
        <v>410</v>
      </c>
      <c r="C39" t="s">
        <v>160</v>
      </c>
      <c r="D39" t="s">
        <v>322</v>
      </c>
      <c r="E39">
        <v>324</v>
      </c>
      <c r="F39" t="s">
        <v>481</v>
      </c>
      <c r="G39" t="s">
        <v>19</v>
      </c>
      <c r="H39" t="str">
        <f>IFERROR(INDEX(Area_Map!$C:$C,MATCH(A39,Area_Map!$A:$A,0)),"Fora RDC")</f>
        <v>RDC apoio</v>
      </c>
    </row>
    <row r="40" spans="1:8" x14ac:dyDescent="0.25">
      <c r="A40" t="s">
        <v>18</v>
      </c>
      <c r="B40">
        <v>324</v>
      </c>
      <c r="C40" t="s">
        <v>161</v>
      </c>
      <c r="D40" t="s">
        <v>323</v>
      </c>
      <c r="E40">
        <v>1171</v>
      </c>
      <c r="F40" t="s">
        <v>482</v>
      </c>
      <c r="G40" t="s">
        <v>19</v>
      </c>
      <c r="H40" t="str">
        <f>IFERROR(INDEX(Area_Map!$C:$C,MATCH(A40,Area_Map!$A:$A,0)),"Fora RDC")</f>
        <v>RDC apoio</v>
      </c>
    </row>
    <row r="41" spans="1:8" x14ac:dyDescent="0.25">
      <c r="A41" t="s">
        <v>18</v>
      </c>
      <c r="B41">
        <v>11342</v>
      </c>
      <c r="C41" t="s">
        <v>162</v>
      </c>
      <c r="D41" t="s">
        <v>324</v>
      </c>
      <c r="E41">
        <v>942</v>
      </c>
      <c r="F41" t="s">
        <v>483</v>
      </c>
      <c r="G41" t="s">
        <v>20</v>
      </c>
      <c r="H41" t="str">
        <f>IFERROR(INDEX(Area_Map!$C:$C,MATCH(A41,Area_Map!$A:$A,0)),"Fora RDC")</f>
        <v>RDC apoio</v>
      </c>
    </row>
    <row r="42" spans="1:8" x14ac:dyDescent="0.25">
      <c r="A42" t="s">
        <v>18</v>
      </c>
      <c r="B42">
        <v>1204</v>
      </c>
      <c r="C42" t="s">
        <v>163</v>
      </c>
      <c r="D42" t="s">
        <v>325</v>
      </c>
      <c r="E42">
        <v>942</v>
      </c>
      <c r="F42" t="s">
        <v>484</v>
      </c>
      <c r="G42" t="s">
        <v>20</v>
      </c>
      <c r="H42" t="str">
        <f>IFERROR(INDEX(Area_Map!$C:$C,MATCH(A42,Area_Map!$A:$A,0)),"Fora RDC")</f>
        <v>RDC apoio</v>
      </c>
    </row>
    <row r="43" spans="1:8" x14ac:dyDescent="0.25">
      <c r="A43" t="s">
        <v>18</v>
      </c>
      <c r="B43">
        <v>11338</v>
      </c>
      <c r="C43" t="s">
        <v>164</v>
      </c>
      <c r="D43" t="s">
        <v>326</v>
      </c>
      <c r="E43">
        <v>942</v>
      </c>
      <c r="F43" t="s">
        <v>485</v>
      </c>
      <c r="G43" t="s">
        <v>20</v>
      </c>
      <c r="H43" t="str">
        <f>IFERROR(INDEX(Area_Map!$C:$C,MATCH(A43,Area_Map!$A:$A,0)),"Fora RDC")</f>
        <v>RDC apoio</v>
      </c>
    </row>
    <row r="44" spans="1:8" x14ac:dyDescent="0.25">
      <c r="A44" t="s">
        <v>18</v>
      </c>
      <c r="B44">
        <v>906</v>
      </c>
      <c r="C44" t="s">
        <v>165</v>
      </c>
      <c r="D44" t="s">
        <v>327</v>
      </c>
      <c r="E44">
        <v>881</v>
      </c>
      <c r="F44" t="s">
        <v>486</v>
      </c>
      <c r="G44" t="s">
        <v>22</v>
      </c>
      <c r="H44" t="str">
        <f>IFERROR(INDEX(Area_Map!$C:$C,MATCH(A44,Area_Map!$A:$A,0)),"Fora RDC")</f>
        <v>RDC apoio</v>
      </c>
    </row>
    <row r="45" spans="1:8" x14ac:dyDescent="0.25">
      <c r="A45" t="s">
        <v>18</v>
      </c>
      <c r="B45">
        <v>942</v>
      </c>
      <c r="C45" t="s">
        <v>166</v>
      </c>
      <c r="D45" t="s">
        <v>328</v>
      </c>
      <c r="E45">
        <v>956</v>
      </c>
      <c r="F45" t="s">
        <v>487</v>
      </c>
      <c r="G45" t="s">
        <v>20</v>
      </c>
      <c r="H45" t="str">
        <f>IFERROR(INDEX(Area_Map!$C:$C,MATCH(A45,Area_Map!$A:$A,0)),"Fora RDC")</f>
        <v>RDC apoio</v>
      </c>
    </row>
    <row r="46" spans="1:8" x14ac:dyDescent="0.25">
      <c r="A46" t="s">
        <v>18</v>
      </c>
      <c r="B46">
        <v>895</v>
      </c>
      <c r="C46" t="s">
        <v>167</v>
      </c>
      <c r="D46" t="s">
        <v>329</v>
      </c>
      <c r="E46">
        <v>942</v>
      </c>
      <c r="F46" t="s">
        <v>488</v>
      </c>
      <c r="G46" t="s">
        <v>20</v>
      </c>
      <c r="H46" t="str">
        <f>IFERROR(INDEX(Area_Map!$C:$C,MATCH(A46,Area_Map!$A:$A,0)),"Fora RDC")</f>
        <v>RDC apoio</v>
      </c>
    </row>
    <row r="47" spans="1:8" x14ac:dyDescent="0.25">
      <c r="A47" t="s">
        <v>18</v>
      </c>
      <c r="B47">
        <v>1047</v>
      </c>
      <c r="C47" t="s">
        <v>168</v>
      </c>
      <c r="D47" t="s">
        <v>330</v>
      </c>
      <c r="E47">
        <v>942</v>
      </c>
      <c r="F47" t="s">
        <v>489</v>
      </c>
      <c r="G47" t="s">
        <v>20</v>
      </c>
      <c r="H47" t="str">
        <f>IFERROR(INDEX(Area_Map!$C:$C,MATCH(A47,Area_Map!$A:$A,0)),"Fora RDC")</f>
        <v>RDC apoio</v>
      </c>
    </row>
    <row r="48" spans="1:8" x14ac:dyDescent="0.25">
      <c r="A48" t="s">
        <v>18</v>
      </c>
      <c r="B48">
        <v>219</v>
      </c>
      <c r="C48" t="s">
        <v>169</v>
      </c>
      <c r="D48" t="s">
        <v>331</v>
      </c>
      <c r="E48">
        <v>324</v>
      </c>
      <c r="F48" t="s">
        <v>490</v>
      </c>
      <c r="G48" t="s">
        <v>19</v>
      </c>
      <c r="H48" t="str">
        <f>IFERROR(INDEX(Area_Map!$C:$C,MATCH(A48,Area_Map!$A:$A,0)),"Fora RDC")</f>
        <v>RDC apoio</v>
      </c>
    </row>
    <row r="49" spans="1:8" x14ac:dyDescent="0.25">
      <c r="A49" t="s">
        <v>18</v>
      </c>
      <c r="B49">
        <v>11336</v>
      </c>
      <c r="C49" t="s">
        <v>170</v>
      </c>
      <c r="D49" t="s">
        <v>332</v>
      </c>
      <c r="E49">
        <v>942</v>
      </c>
      <c r="F49" t="s">
        <v>491</v>
      </c>
      <c r="G49" t="s">
        <v>20</v>
      </c>
      <c r="H49" t="str">
        <f>IFERROR(INDEX(Area_Map!$C:$C,MATCH(A49,Area_Map!$A:$A,0)),"Fora RDC")</f>
        <v>RDC apoio</v>
      </c>
    </row>
    <row r="50" spans="1:8" x14ac:dyDescent="0.25">
      <c r="A50" t="s">
        <v>18</v>
      </c>
      <c r="B50">
        <v>497</v>
      </c>
      <c r="C50" t="s">
        <v>171</v>
      </c>
      <c r="D50" t="s">
        <v>333</v>
      </c>
      <c r="E50">
        <v>324</v>
      </c>
      <c r="F50" t="s">
        <v>492</v>
      </c>
      <c r="G50" t="s">
        <v>19</v>
      </c>
      <c r="H50" t="str">
        <f>IFERROR(INDEX(Area_Map!$C:$C,MATCH(A50,Area_Map!$A:$A,0)),"Fora RDC")</f>
        <v>RDC apoio</v>
      </c>
    </row>
    <row r="51" spans="1:8" x14ac:dyDescent="0.25">
      <c r="A51" t="s">
        <v>23</v>
      </c>
      <c r="B51">
        <v>11647</v>
      </c>
      <c r="C51" t="s">
        <v>172</v>
      </c>
      <c r="D51" t="s">
        <v>334</v>
      </c>
      <c r="E51">
        <v>357</v>
      </c>
      <c r="F51" t="s">
        <v>493</v>
      </c>
      <c r="G51" t="s">
        <v>24</v>
      </c>
      <c r="H51" t="str">
        <f>IFERROR(INDEX(Area_Map!$C:$C,MATCH(A51,Area_Map!$A:$A,0)),"Fora RDC")</f>
        <v>RDC</v>
      </c>
    </row>
    <row r="52" spans="1:8" x14ac:dyDescent="0.25">
      <c r="A52" t="s">
        <v>23</v>
      </c>
      <c r="B52">
        <v>738</v>
      </c>
      <c r="C52" t="s">
        <v>173</v>
      </c>
      <c r="D52" t="s">
        <v>335</v>
      </c>
      <c r="E52">
        <v>357</v>
      </c>
      <c r="F52" t="s">
        <v>494</v>
      </c>
      <c r="G52" t="s">
        <v>24</v>
      </c>
      <c r="H52" t="str">
        <f>IFERROR(INDEX(Area_Map!$C:$C,MATCH(A52,Area_Map!$A:$A,0)),"Fora RDC")</f>
        <v>RDC</v>
      </c>
    </row>
    <row r="53" spans="1:8" x14ac:dyDescent="0.25">
      <c r="A53" t="s">
        <v>23</v>
      </c>
      <c r="B53">
        <v>1060</v>
      </c>
      <c r="C53" t="s">
        <v>174</v>
      </c>
      <c r="D53" t="s">
        <v>336</v>
      </c>
      <c r="E53">
        <v>357</v>
      </c>
      <c r="F53" t="s">
        <v>495</v>
      </c>
      <c r="G53" t="s">
        <v>24</v>
      </c>
      <c r="H53" t="str">
        <f>IFERROR(INDEX(Area_Map!$C:$C,MATCH(A53,Area_Map!$A:$A,0)),"Fora RDC")</f>
        <v>RDC</v>
      </c>
    </row>
    <row r="54" spans="1:8" x14ac:dyDescent="0.25">
      <c r="A54" t="s">
        <v>23</v>
      </c>
      <c r="B54">
        <v>357</v>
      </c>
      <c r="C54" t="s">
        <v>175</v>
      </c>
      <c r="D54" t="s">
        <v>337</v>
      </c>
      <c r="E54">
        <v>11785</v>
      </c>
      <c r="F54" t="s">
        <v>496</v>
      </c>
      <c r="G54" t="s">
        <v>24</v>
      </c>
      <c r="H54" t="str">
        <f>IFERROR(INDEX(Area_Map!$C:$C,MATCH(A54,Area_Map!$A:$A,0)),"Fora RDC")</f>
        <v>RDC</v>
      </c>
    </row>
    <row r="55" spans="1:8" x14ac:dyDescent="0.25">
      <c r="A55" t="s">
        <v>23</v>
      </c>
      <c r="B55">
        <v>11665</v>
      </c>
      <c r="C55" t="s">
        <v>176</v>
      </c>
      <c r="D55" t="s">
        <v>338</v>
      </c>
      <c r="E55">
        <v>357</v>
      </c>
      <c r="F55" t="s">
        <v>497</v>
      </c>
      <c r="G55" t="s">
        <v>24</v>
      </c>
      <c r="H55" t="str">
        <f>IFERROR(INDEX(Area_Map!$C:$C,MATCH(A55,Area_Map!$A:$A,0)),"Fora RDC")</f>
        <v>RDC</v>
      </c>
    </row>
    <row r="56" spans="1:8" x14ac:dyDescent="0.25">
      <c r="A56" t="s">
        <v>23</v>
      </c>
      <c r="B56">
        <v>285</v>
      </c>
      <c r="C56" t="s">
        <v>177</v>
      </c>
      <c r="D56" t="s">
        <v>339</v>
      </c>
      <c r="E56">
        <v>357</v>
      </c>
      <c r="F56" t="s">
        <v>498</v>
      </c>
      <c r="G56" t="s">
        <v>24</v>
      </c>
      <c r="H56" t="str">
        <f>IFERROR(INDEX(Area_Map!$C:$C,MATCH(A56,Area_Map!$A:$A,0)),"Fora RDC")</f>
        <v>RDC</v>
      </c>
    </row>
    <row r="57" spans="1:8" x14ac:dyDescent="0.25">
      <c r="A57" t="s">
        <v>25</v>
      </c>
      <c r="B57">
        <v>11761</v>
      </c>
      <c r="C57" t="s">
        <v>178</v>
      </c>
      <c r="D57" t="s">
        <v>340</v>
      </c>
      <c r="E57">
        <v>635</v>
      </c>
      <c r="F57" t="s">
        <v>499</v>
      </c>
      <c r="G57" t="s">
        <v>26</v>
      </c>
      <c r="H57" t="str">
        <f>IFERROR(INDEX(Area_Map!$C:$C,MATCH(A57,Area_Map!$A:$A,0)),"Fora RDC")</f>
        <v>RDC apoio</v>
      </c>
    </row>
    <row r="58" spans="1:8" x14ac:dyDescent="0.25">
      <c r="A58" t="s">
        <v>25</v>
      </c>
      <c r="B58">
        <v>11777</v>
      </c>
      <c r="C58" t="s">
        <v>179</v>
      </c>
      <c r="D58" t="s">
        <v>341</v>
      </c>
      <c r="E58">
        <v>635</v>
      </c>
      <c r="F58" t="s">
        <v>500</v>
      </c>
      <c r="G58" t="s">
        <v>26</v>
      </c>
      <c r="H58" t="str">
        <f>IFERROR(INDEX(Area_Map!$C:$C,MATCH(A58,Area_Map!$A:$A,0)),"Fora RDC")</f>
        <v>RDC apoio</v>
      </c>
    </row>
    <row r="59" spans="1:8" x14ac:dyDescent="0.25">
      <c r="A59" t="s">
        <v>25</v>
      </c>
      <c r="B59">
        <v>184</v>
      </c>
      <c r="C59" t="s">
        <v>180</v>
      </c>
      <c r="D59" t="s">
        <v>342</v>
      </c>
      <c r="E59">
        <v>635</v>
      </c>
      <c r="F59" t="s">
        <v>501</v>
      </c>
      <c r="G59" t="s">
        <v>26</v>
      </c>
      <c r="H59" t="str">
        <f>IFERROR(INDEX(Area_Map!$C:$C,MATCH(A59,Area_Map!$A:$A,0)),"Fora RDC")</f>
        <v>RDC apoio</v>
      </c>
    </row>
    <row r="60" spans="1:8" x14ac:dyDescent="0.25">
      <c r="A60" t="s">
        <v>25</v>
      </c>
      <c r="B60">
        <v>635</v>
      </c>
      <c r="C60" t="s">
        <v>181</v>
      </c>
      <c r="D60" t="s">
        <v>343</v>
      </c>
      <c r="E60">
        <v>11700</v>
      </c>
      <c r="F60" t="s">
        <v>502</v>
      </c>
      <c r="G60" t="s">
        <v>26</v>
      </c>
      <c r="H60" t="str">
        <f>IFERROR(INDEX(Area_Map!$C:$C,MATCH(A60,Area_Map!$A:$A,0)),"Fora RDC")</f>
        <v>RDC apoio</v>
      </c>
    </row>
    <row r="61" spans="1:8" x14ac:dyDescent="0.25">
      <c r="A61" t="s">
        <v>27</v>
      </c>
      <c r="B61">
        <v>551</v>
      </c>
      <c r="C61" t="s">
        <v>182</v>
      </c>
      <c r="D61" t="s">
        <v>344</v>
      </c>
      <c r="E61">
        <v>881</v>
      </c>
      <c r="F61" t="s">
        <v>503</v>
      </c>
      <c r="G61" t="s">
        <v>28</v>
      </c>
      <c r="H61" t="str">
        <f>IFERROR(INDEX(Area_Map!$C:$C,MATCH(A61,Area_Map!$A:$A,0)),"Fora RDC")</f>
        <v>RDC apoio</v>
      </c>
    </row>
    <row r="62" spans="1:8" x14ac:dyDescent="0.25">
      <c r="A62" t="s">
        <v>27</v>
      </c>
      <c r="B62">
        <v>881</v>
      </c>
      <c r="C62" t="s">
        <v>183</v>
      </c>
      <c r="D62" t="s">
        <v>345</v>
      </c>
      <c r="E62">
        <v>775</v>
      </c>
      <c r="F62" t="s">
        <v>504</v>
      </c>
      <c r="G62" t="s">
        <v>28</v>
      </c>
      <c r="H62" t="str">
        <f>IFERROR(INDEX(Area_Map!$C:$C,MATCH(A62,Area_Map!$A:$A,0)),"Fora RDC")</f>
        <v>RDC apoio</v>
      </c>
    </row>
    <row r="63" spans="1:8" x14ac:dyDescent="0.25">
      <c r="A63" t="s">
        <v>27</v>
      </c>
      <c r="B63">
        <v>11870</v>
      </c>
      <c r="C63" t="s">
        <v>184</v>
      </c>
      <c r="D63" t="s">
        <v>346</v>
      </c>
      <c r="E63">
        <v>881</v>
      </c>
      <c r="F63" t="s">
        <v>505</v>
      </c>
      <c r="G63" t="s">
        <v>28</v>
      </c>
      <c r="H63" t="str">
        <f>IFERROR(INDEX(Area_Map!$C:$C,MATCH(A63,Area_Map!$A:$A,0)),"Fora RDC")</f>
        <v>RDC apoio</v>
      </c>
    </row>
    <row r="64" spans="1:8" x14ac:dyDescent="0.25">
      <c r="A64" t="s">
        <v>27</v>
      </c>
      <c r="B64">
        <v>959</v>
      </c>
      <c r="C64" t="s">
        <v>185</v>
      </c>
      <c r="D64" t="s">
        <v>347</v>
      </c>
      <c r="E64">
        <v>881</v>
      </c>
      <c r="F64" t="s">
        <v>506</v>
      </c>
      <c r="G64" t="s">
        <v>28</v>
      </c>
      <c r="H64" t="str">
        <f>IFERROR(INDEX(Area_Map!$C:$C,MATCH(A64,Area_Map!$A:$A,0)),"Fora RDC")</f>
        <v>RDC apoio</v>
      </c>
    </row>
    <row r="65" spans="1:8" x14ac:dyDescent="0.25">
      <c r="A65" t="s">
        <v>27</v>
      </c>
      <c r="B65">
        <v>11860</v>
      </c>
      <c r="C65" t="s">
        <v>186</v>
      </c>
      <c r="D65" t="s">
        <v>348</v>
      </c>
      <c r="E65">
        <v>881</v>
      </c>
      <c r="F65" t="s">
        <v>507</v>
      </c>
      <c r="G65" t="s">
        <v>28</v>
      </c>
      <c r="H65" t="str">
        <f>IFERROR(INDEX(Area_Map!$C:$C,MATCH(A65,Area_Map!$A:$A,0)),"Fora RDC")</f>
        <v>RDC apoio</v>
      </c>
    </row>
    <row r="66" spans="1:8" x14ac:dyDescent="0.25">
      <c r="A66" t="s">
        <v>29</v>
      </c>
      <c r="B66">
        <v>11789</v>
      </c>
      <c r="C66" t="s">
        <v>187</v>
      </c>
      <c r="D66" t="s">
        <v>349</v>
      </c>
      <c r="E66">
        <v>635</v>
      </c>
      <c r="F66" t="s">
        <v>508</v>
      </c>
      <c r="G66" t="s">
        <v>30</v>
      </c>
      <c r="H66" t="str">
        <f>IFERROR(INDEX(Area_Map!$C:$C,MATCH(A66,Area_Map!$A:$A,0)),"Fora RDC")</f>
        <v>RDC apoio</v>
      </c>
    </row>
    <row r="67" spans="1:8" x14ac:dyDescent="0.25">
      <c r="A67" t="s">
        <v>29</v>
      </c>
      <c r="B67">
        <v>191914</v>
      </c>
      <c r="C67" t="s">
        <v>188</v>
      </c>
      <c r="D67" t="s">
        <v>350</v>
      </c>
      <c r="E67">
        <v>9</v>
      </c>
      <c r="F67" t="s">
        <v>509</v>
      </c>
      <c r="G67" t="s">
        <v>31</v>
      </c>
      <c r="H67" t="str">
        <f>IFERROR(INDEX(Area_Map!$C:$C,MATCH(A67,Area_Map!$A:$A,0)),"Fora RDC")</f>
        <v>RDC apoio</v>
      </c>
    </row>
    <row r="68" spans="1:8" x14ac:dyDescent="0.25">
      <c r="A68" t="s">
        <v>29</v>
      </c>
      <c r="B68">
        <v>595</v>
      </c>
      <c r="C68" t="s">
        <v>189</v>
      </c>
      <c r="D68" t="s">
        <v>351</v>
      </c>
      <c r="E68">
        <v>952</v>
      </c>
      <c r="F68" t="s">
        <v>510</v>
      </c>
      <c r="G68" t="s">
        <v>30</v>
      </c>
      <c r="H68" t="str">
        <f>IFERROR(INDEX(Area_Map!$C:$C,MATCH(A68,Area_Map!$A:$A,0)),"Fora RDC")</f>
        <v>RDC apoio</v>
      </c>
    </row>
    <row r="69" spans="1:8" x14ac:dyDescent="0.25">
      <c r="A69" t="s">
        <v>29</v>
      </c>
      <c r="B69">
        <v>11805</v>
      </c>
      <c r="C69" t="s">
        <v>190</v>
      </c>
      <c r="D69" t="s">
        <v>352</v>
      </c>
      <c r="E69">
        <v>952</v>
      </c>
      <c r="F69" t="s">
        <v>511</v>
      </c>
      <c r="G69" t="s">
        <v>30</v>
      </c>
      <c r="H69" t="str">
        <f>IFERROR(INDEX(Area_Map!$C:$C,MATCH(A69,Area_Map!$A:$A,0)),"Fora RDC")</f>
        <v>RDC apoio</v>
      </c>
    </row>
    <row r="70" spans="1:8" x14ac:dyDescent="0.25">
      <c r="A70" t="s">
        <v>29</v>
      </c>
      <c r="B70">
        <v>11700</v>
      </c>
      <c r="C70" t="s">
        <v>191</v>
      </c>
      <c r="D70" t="s">
        <v>353</v>
      </c>
      <c r="E70">
        <v>775</v>
      </c>
      <c r="F70" t="s">
        <v>512</v>
      </c>
      <c r="G70" t="s">
        <v>31</v>
      </c>
      <c r="H70" t="str">
        <f>IFERROR(INDEX(Area_Map!$C:$C,MATCH(A70,Area_Map!$A:$A,0)),"Fora RDC")</f>
        <v>RDC apoio</v>
      </c>
    </row>
    <row r="71" spans="1:8" x14ac:dyDescent="0.25">
      <c r="A71" t="s">
        <v>29</v>
      </c>
      <c r="B71">
        <v>952</v>
      </c>
      <c r="C71" t="s">
        <v>192</v>
      </c>
      <c r="D71" t="s">
        <v>354</v>
      </c>
      <c r="E71">
        <v>11700</v>
      </c>
      <c r="F71" t="s">
        <v>513</v>
      </c>
      <c r="G71" t="s">
        <v>30</v>
      </c>
      <c r="H71" t="str">
        <f>IFERROR(INDEX(Area_Map!$C:$C,MATCH(A71,Area_Map!$A:$A,0)),"Fora RDC")</f>
        <v>RDC apoio</v>
      </c>
    </row>
    <row r="72" spans="1:8" x14ac:dyDescent="0.25">
      <c r="A72" t="s">
        <v>29</v>
      </c>
      <c r="B72">
        <v>1012</v>
      </c>
      <c r="C72" t="s">
        <v>193</v>
      </c>
      <c r="D72" t="s">
        <v>355</v>
      </c>
      <c r="E72">
        <v>9</v>
      </c>
      <c r="F72" t="s">
        <v>514</v>
      </c>
      <c r="G72" t="s">
        <v>31</v>
      </c>
      <c r="H72" t="str">
        <f>IFERROR(INDEX(Area_Map!$C:$C,MATCH(A72,Area_Map!$A:$A,0)),"Fora RDC")</f>
        <v>RDC apoio</v>
      </c>
    </row>
    <row r="73" spans="1:8" x14ac:dyDescent="0.25">
      <c r="A73" t="s">
        <v>29</v>
      </c>
      <c r="B73">
        <v>238</v>
      </c>
      <c r="C73" t="s">
        <v>194</v>
      </c>
      <c r="D73" t="s">
        <v>356</v>
      </c>
      <c r="E73">
        <v>9</v>
      </c>
      <c r="F73" t="s">
        <v>515</v>
      </c>
      <c r="G73" t="s">
        <v>32</v>
      </c>
      <c r="H73" t="str">
        <f>IFERROR(INDEX(Area_Map!$C:$C,MATCH(A73,Area_Map!$A:$A,0)),"Fora RDC")</f>
        <v>RDC apoio</v>
      </c>
    </row>
    <row r="74" spans="1:8" x14ac:dyDescent="0.25">
      <c r="A74" t="s">
        <v>29</v>
      </c>
      <c r="B74">
        <v>864</v>
      </c>
      <c r="C74" t="s">
        <v>195</v>
      </c>
      <c r="D74" t="s">
        <v>357</v>
      </c>
      <c r="E74">
        <v>11700</v>
      </c>
      <c r="F74" t="s">
        <v>516</v>
      </c>
      <c r="G74" t="s">
        <v>31</v>
      </c>
      <c r="H74" t="str">
        <f>IFERROR(INDEX(Area_Map!$C:$C,MATCH(A74,Area_Map!$A:$A,0)),"Fora RDC")</f>
        <v>RDC apoio</v>
      </c>
    </row>
    <row r="75" spans="1:8" x14ac:dyDescent="0.25">
      <c r="A75" t="s">
        <v>29</v>
      </c>
      <c r="B75">
        <v>979</v>
      </c>
      <c r="C75" t="s">
        <v>196</v>
      </c>
      <c r="D75" t="s">
        <v>358</v>
      </c>
      <c r="E75">
        <v>952</v>
      </c>
      <c r="F75" t="s">
        <v>517</v>
      </c>
      <c r="G75" t="s">
        <v>30</v>
      </c>
      <c r="H75" t="str">
        <f>IFERROR(INDEX(Area_Map!$C:$C,MATCH(A75,Area_Map!$A:$A,0)),"Fora RDC")</f>
        <v>RDC apoio</v>
      </c>
    </row>
    <row r="76" spans="1:8" x14ac:dyDescent="0.25">
      <c r="A76" t="s">
        <v>29</v>
      </c>
      <c r="B76">
        <v>9</v>
      </c>
      <c r="C76" t="s">
        <v>197</v>
      </c>
      <c r="D76" t="s">
        <v>359</v>
      </c>
      <c r="E76">
        <v>952</v>
      </c>
      <c r="F76" t="s">
        <v>518</v>
      </c>
      <c r="G76" t="s">
        <v>33</v>
      </c>
      <c r="H76" t="str">
        <f>IFERROR(INDEX(Area_Map!$C:$C,MATCH(A76,Area_Map!$A:$A,0)),"Fora RDC")</f>
        <v>RDC apoio</v>
      </c>
    </row>
    <row r="77" spans="1:8" x14ac:dyDescent="0.25">
      <c r="A77" t="s">
        <v>29</v>
      </c>
      <c r="B77">
        <v>633</v>
      </c>
      <c r="C77" t="s">
        <v>198</v>
      </c>
      <c r="D77" t="s">
        <v>360</v>
      </c>
      <c r="E77">
        <v>11785</v>
      </c>
      <c r="F77" t="s">
        <v>519</v>
      </c>
      <c r="G77" t="s">
        <v>32</v>
      </c>
      <c r="H77" t="str">
        <f>IFERROR(INDEX(Area_Map!$C:$C,MATCH(A77,Area_Map!$A:$A,0)),"Fora RDC")</f>
        <v>RDC apoio</v>
      </c>
    </row>
    <row r="78" spans="1:8" x14ac:dyDescent="0.25">
      <c r="A78" t="s">
        <v>34</v>
      </c>
      <c r="B78">
        <v>11802</v>
      </c>
      <c r="C78" t="s">
        <v>199</v>
      </c>
      <c r="D78" t="s">
        <v>361</v>
      </c>
      <c r="E78">
        <v>11700</v>
      </c>
      <c r="F78" t="s">
        <v>520</v>
      </c>
      <c r="G78" t="s">
        <v>35</v>
      </c>
      <c r="H78" t="str">
        <f>IFERROR(INDEX(Area_Map!$C:$C,MATCH(A78,Area_Map!$A:$A,0)),"Fora RDC")</f>
        <v>RDC apoio</v>
      </c>
    </row>
    <row r="79" spans="1:8" x14ac:dyDescent="0.25">
      <c r="A79" t="s">
        <v>34</v>
      </c>
      <c r="B79">
        <v>11842</v>
      </c>
      <c r="C79" t="s">
        <v>200</v>
      </c>
      <c r="D79" t="s">
        <v>362</v>
      </c>
      <c r="E79">
        <v>11802</v>
      </c>
      <c r="F79" t="s">
        <v>521</v>
      </c>
      <c r="G79" t="s">
        <v>35</v>
      </c>
      <c r="H79" t="str">
        <f>IFERROR(INDEX(Area_Map!$C:$C,MATCH(A79,Area_Map!$A:$A,0)),"Fora RDC")</f>
        <v>RDC apoio</v>
      </c>
    </row>
    <row r="80" spans="1:8" x14ac:dyDescent="0.25">
      <c r="A80" t="s">
        <v>34</v>
      </c>
      <c r="B80">
        <v>909</v>
      </c>
      <c r="C80" t="s">
        <v>201</v>
      </c>
      <c r="D80" t="s">
        <v>363</v>
      </c>
      <c r="E80">
        <v>11802</v>
      </c>
      <c r="F80" t="s">
        <v>522</v>
      </c>
      <c r="G80" t="s">
        <v>35</v>
      </c>
      <c r="H80" t="str">
        <f>IFERROR(INDEX(Area_Map!$C:$C,MATCH(A80,Area_Map!$A:$A,0)),"Fora RDC")</f>
        <v>RDC apoio</v>
      </c>
    </row>
    <row r="81" spans="1:8" x14ac:dyDescent="0.25">
      <c r="A81" t="s">
        <v>36</v>
      </c>
      <c r="B81">
        <v>20207</v>
      </c>
      <c r="C81" t="s">
        <v>202</v>
      </c>
      <c r="D81" t="s">
        <v>364</v>
      </c>
      <c r="E81">
        <v>881</v>
      </c>
      <c r="F81" t="s">
        <v>523</v>
      </c>
      <c r="G81" t="s">
        <v>11</v>
      </c>
      <c r="H81" t="str">
        <f>IFERROR(INDEX(Area_Map!$C:$C,MATCH(A81,Area_Map!$A:$A,0)),"Fora RDC")</f>
        <v>RDC apoio</v>
      </c>
    </row>
    <row r="82" spans="1:8" x14ac:dyDescent="0.25">
      <c r="A82" t="s">
        <v>36</v>
      </c>
      <c r="B82">
        <v>11308</v>
      </c>
      <c r="C82" t="s">
        <v>203</v>
      </c>
      <c r="D82" t="s">
        <v>365</v>
      </c>
      <c r="E82">
        <v>775</v>
      </c>
      <c r="F82" t="s">
        <v>524</v>
      </c>
      <c r="G82" t="s">
        <v>11</v>
      </c>
      <c r="H82" t="str">
        <f>IFERROR(INDEX(Area_Map!$C:$C,MATCH(A82,Area_Map!$A:$A,0)),"Fora RDC")</f>
        <v>RDC apoio</v>
      </c>
    </row>
    <row r="83" spans="1:8" x14ac:dyDescent="0.25">
      <c r="A83" t="s">
        <v>36</v>
      </c>
      <c r="B83">
        <v>11746</v>
      </c>
      <c r="C83" t="s">
        <v>204</v>
      </c>
      <c r="D83" t="s">
        <v>366</v>
      </c>
      <c r="E83">
        <v>11308</v>
      </c>
      <c r="F83" t="s">
        <v>525</v>
      </c>
      <c r="G83" t="s">
        <v>11</v>
      </c>
      <c r="H83" t="str">
        <f>IFERROR(INDEX(Area_Map!$C:$C,MATCH(A83,Area_Map!$A:$A,0)),"Fora RDC")</f>
        <v>RDC apoio</v>
      </c>
    </row>
    <row r="84" spans="1:8" x14ac:dyDescent="0.25">
      <c r="A84" t="s">
        <v>36</v>
      </c>
      <c r="B84">
        <v>1066</v>
      </c>
      <c r="C84" t="s">
        <v>205</v>
      </c>
      <c r="D84" t="s">
        <v>367</v>
      </c>
      <c r="E84">
        <v>11785</v>
      </c>
      <c r="F84" t="s">
        <v>526</v>
      </c>
      <c r="G84" t="s">
        <v>37</v>
      </c>
      <c r="H84" t="str">
        <f>IFERROR(INDEX(Area_Map!$C:$C,MATCH(A84,Area_Map!$A:$A,0)),"Fora RDC")</f>
        <v>RDC apoio</v>
      </c>
    </row>
    <row r="85" spans="1:8" x14ac:dyDescent="0.25">
      <c r="A85" t="s">
        <v>36</v>
      </c>
      <c r="B85">
        <v>202023</v>
      </c>
      <c r="C85" t="s">
        <v>206</v>
      </c>
      <c r="D85" t="s">
        <v>368</v>
      </c>
      <c r="E85">
        <v>11308</v>
      </c>
      <c r="F85" t="s">
        <v>527</v>
      </c>
      <c r="G85" t="s">
        <v>11</v>
      </c>
      <c r="H85" t="str">
        <f>IFERROR(INDEX(Area_Map!$C:$C,MATCH(A85,Area_Map!$A:$A,0)),"Fora RDC")</f>
        <v>RDC apoio</v>
      </c>
    </row>
    <row r="86" spans="1:8" x14ac:dyDescent="0.25">
      <c r="A86" t="s">
        <v>36</v>
      </c>
      <c r="B86">
        <v>258</v>
      </c>
      <c r="C86" t="s">
        <v>207</v>
      </c>
      <c r="D86" t="s">
        <v>369</v>
      </c>
      <c r="E86">
        <v>1171</v>
      </c>
      <c r="F86" t="s">
        <v>528</v>
      </c>
      <c r="G86" t="s">
        <v>10</v>
      </c>
      <c r="H86" t="str">
        <f>IFERROR(INDEX(Area_Map!$C:$C,MATCH(A86,Area_Map!$A:$A,0)),"Fora RDC")</f>
        <v>RDC apoio</v>
      </c>
    </row>
    <row r="87" spans="1:8" x14ac:dyDescent="0.25">
      <c r="A87" t="s">
        <v>36</v>
      </c>
      <c r="B87">
        <v>11328</v>
      </c>
      <c r="C87" t="s">
        <v>208</v>
      </c>
      <c r="D87" t="s">
        <v>370</v>
      </c>
      <c r="E87">
        <v>775</v>
      </c>
      <c r="F87" t="s">
        <v>529</v>
      </c>
      <c r="G87" t="s">
        <v>11</v>
      </c>
      <c r="H87" t="str">
        <f>IFERROR(INDEX(Area_Map!$C:$C,MATCH(A87,Area_Map!$A:$A,0)),"Fora RDC")</f>
        <v>RDC apoio</v>
      </c>
    </row>
    <row r="88" spans="1:8" x14ac:dyDescent="0.25">
      <c r="A88" t="s">
        <v>36</v>
      </c>
      <c r="B88">
        <v>11667</v>
      </c>
      <c r="C88" t="s">
        <v>209</v>
      </c>
      <c r="D88" t="s">
        <v>371</v>
      </c>
      <c r="E88">
        <v>11308</v>
      </c>
      <c r="F88" t="s">
        <v>530</v>
      </c>
      <c r="G88" t="s">
        <v>38</v>
      </c>
      <c r="H88" t="str">
        <f>IFERROR(INDEX(Area_Map!$C:$C,MATCH(A88,Area_Map!$A:$A,0)),"Fora RDC")</f>
        <v>RDC apoio</v>
      </c>
    </row>
    <row r="89" spans="1:8" x14ac:dyDescent="0.25">
      <c r="A89" t="s">
        <v>39</v>
      </c>
      <c r="B89">
        <v>1087</v>
      </c>
      <c r="C89" t="s">
        <v>210</v>
      </c>
      <c r="D89" t="s">
        <v>372</v>
      </c>
      <c r="E89">
        <v>290</v>
      </c>
      <c r="F89" t="s">
        <v>531</v>
      </c>
      <c r="G89" t="s">
        <v>40</v>
      </c>
      <c r="H89" t="str">
        <f>IFERROR(INDEX(Area_Map!$C:$C,MATCH(A89,Area_Map!$A:$A,0)),"Fora RDC")</f>
        <v>RDC</v>
      </c>
    </row>
    <row r="90" spans="1:8" x14ac:dyDescent="0.25">
      <c r="A90" t="s">
        <v>41</v>
      </c>
      <c r="B90">
        <v>279</v>
      </c>
      <c r="C90" t="s">
        <v>211</v>
      </c>
      <c r="D90" t="s">
        <v>373</v>
      </c>
      <c r="E90">
        <v>4744</v>
      </c>
      <c r="F90" t="s">
        <v>532</v>
      </c>
      <c r="G90" t="s">
        <v>42</v>
      </c>
      <c r="H90" t="str">
        <f>IFERROR(INDEX(Area_Map!$C:$C,MATCH(A90,Area_Map!$A:$A,0)),"Fora RDC")</f>
        <v>RDC apoio</v>
      </c>
    </row>
    <row r="91" spans="1:8" x14ac:dyDescent="0.25">
      <c r="A91" t="s">
        <v>41</v>
      </c>
      <c r="B91">
        <v>221</v>
      </c>
      <c r="C91" t="s">
        <v>212</v>
      </c>
      <c r="D91" t="s">
        <v>374</v>
      </c>
      <c r="E91">
        <v>4744</v>
      </c>
      <c r="F91" t="s">
        <v>533</v>
      </c>
      <c r="G91" t="s">
        <v>42</v>
      </c>
      <c r="H91" t="str">
        <f>IFERROR(INDEX(Area_Map!$C:$C,MATCH(A91,Area_Map!$A:$A,0)),"Fora RDC")</f>
        <v>RDC apoio</v>
      </c>
    </row>
    <row r="92" spans="1:8" x14ac:dyDescent="0.25">
      <c r="A92" t="s">
        <v>41</v>
      </c>
      <c r="B92">
        <v>4744</v>
      </c>
      <c r="C92" t="s">
        <v>213</v>
      </c>
      <c r="D92" t="s">
        <v>375</v>
      </c>
      <c r="E92">
        <v>11785</v>
      </c>
      <c r="F92" t="s">
        <v>534</v>
      </c>
      <c r="G92" t="s">
        <v>42</v>
      </c>
      <c r="H92" t="str">
        <f>IFERROR(INDEX(Area_Map!$C:$C,MATCH(A92,Area_Map!$A:$A,0)),"Fora RDC")</f>
        <v>RDC apoio</v>
      </c>
    </row>
    <row r="93" spans="1:8" x14ac:dyDescent="0.25">
      <c r="A93" t="s">
        <v>41</v>
      </c>
      <c r="B93">
        <v>427</v>
      </c>
      <c r="C93" t="s">
        <v>214</v>
      </c>
      <c r="D93" t="s">
        <v>376</v>
      </c>
      <c r="E93">
        <v>362</v>
      </c>
      <c r="F93" t="s">
        <v>535</v>
      </c>
      <c r="G93" t="s">
        <v>43</v>
      </c>
      <c r="H93" t="str">
        <f>IFERROR(INDEX(Area_Map!$C:$C,MATCH(A93,Area_Map!$A:$A,0)),"Fora RDC")</f>
        <v>RDC apoio</v>
      </c>
    </row>
    <row r="94" spans="1:8" x14ac:dyDescent="0.25">
      <c r="A94" t="s">
        <v>41</v>
      </c>
      <c r="B94">
        <v>798</v>
      </c>
      <c r="C94" t="s">
        <v>215</v>
      </c>
      <c r="D94" t="s">
        <v>377</v>
      </c>
      <c r="E94">
        <v>4744</v>
      </c>
      <c r="F94" t="s">
        <v>536</v>
      </c>
      <c r="G94" t="s">
        <v>44</v>
      </c>
      <c r="H94" t="str">
        <f>IFERROR(INDEX(Area_Map!$C:$C,MATCH(A94,Area_Map!$A:$A,0)),"Fora RDC")</f>
        <v>RDC apoio</v>
      </c>
    </row>
    <row r="95" spans="1:8" x14ac:dyDescent="0.25">
      <c r="A95" t="s">
        <v>41</v>
      </c>
      <c r="B95">
        <v>2255</v>
      </c>
      <c r="C95" t="s">
        <v>216</v>
      </c>
      <c r="D95" t="s">
        <v>378</v>
      </c>
      <c r="E95">
        <v>4744</v>
      </c>
      <c r="F95" t="s">
        <v>537</v>
      </c>
      <c r="G95" t="s">
        <v>42</v>
      </c>
      <c r="H95" t="str">
        <f>IFERROR(INDEX(Area_Map!$C:$C,MATCH(A95,Area_Map!$A:$A,0)),"Fora RDC")</f>
        <v>RDC apoio</v>
      </c>
    </row>
    <row r="96" spans="1:8" x14ac:dyDescent="0.25">
      <c r="A96" t="s">
        <v>41</v>
      </c>
      <c r="B96">
        <v>438</v>
      </c>
      <c r="C96" t="s">
        <v>217</v>
      </c>
      <c r="D96" t="s">
        <v>379</v>
      </c>
      <c r="E96">
        <v>4744</v>
      </c>
      <c r="F96" t="s">
        <v>538</v>
      </c>
      <c r="G96" t="s">
        <v>45</v>
      </c>
      <c r="H96" t="str">
        <f>IFERROR(INDEX(Area_Map!$C:$C,MATCH(A96,Area_Map!$A:$A,0)),"Fora RDC")</f>
        <v>RDC apoio</v>
      </c>
    </row>
    <row r="97" spans="1:8" x14ac:dyDescent="0.25">
      <c r="A97" t="s">
        <v>46</v>
      </c>
      <c r="B97">
        <v>897</v>
      </c>
      <c r="C97" t="s">
        <v>218</v>
      </c>
      <c r="D97" t="s">
        <v>380</v>
      </c>
      <c r="E97">
        <v>262</v>
      </c>
      <c r="F97" t="s">
        <v>539</v>
      </c>
      <c r="G97" t="s">
        <v>47</v>
      </c>
      <c r="H97" t="str">
        <f>IFERROR(INDEX(Area_Map!$C:$C,MATCH(A97,Area_Map!$A:$A,0)),"Fora RDC")</f>
        <v>RDC</v>
      </c>
    </row>
    <row r="98" spans="1:8" x14ac:dyDescent="0.25">
      <c r="A98" t="s">
        <v>46</v>
      </c>
      <c r="B98">
        <v>11866</v>
      </c>
      <c r="C98" t="s">
        <v>219</v>
      </c>
      <c r="D98" t="s">
        <v>381</v>
      </c>
      <c r="E98">
        <v>207</v>
      </c>
      <c r="F98" t="s">
        <v>540</v>
      </c>
      <c r="G98" t="s">
        <v>47</v>
      </c>
      <c r="H98" t="str">
        <f>IFERROR(INDEX(Area_Map!$C:$C,MATCH(A98,Area_Map!$A:$A,0)),"Fora RDC")</f>
        <v>RDC</v>
      </c>
    </row>
    <row r="99" spans="1:8" x14ac:dyDescent="0.25">
      <c r="A99" t="s">
        <v>46</v>
      </c>
      <c r="B99">
        <v>407</v>
      </c>
      <c r="C99" t="s">
        <v>220</v>
      </c>
      <c r="D99" t="s">
        <v>382</v>
      </c>
      <c r="E99">
        <v>262</v>
      </c>
      <c r="F99" t="s">
        <v>541</v>
      </c>
      <c r="G99" t="s">
        <v>47</v>
      </c>
      <c r="H99" t="str">
        <f>IFERROR(INDEX(Area_Map!$C:$C,MATCH(A99,Area_Map!$A:$A,0)),"Fora RDC")</f>
        <v>RDC</v>
      </c>
    </row>
    <row r="100" spans="1:8" x14ac:dyDescent="0.25">
      <c r="A100" t="s">
        <v>46</v>
      </c>
      <c r="B100">
        <v>112923</v>
      </c>
      <c r="C100" t="s">
        <v>221</v>
      </c>
      <c r="D100" t="s">
        <v>383</v>
      </c>
      <c r="E100">
        <v>309</v>
      </c>
      <c r="F100" t="s">
        <v>542</v>
      </c>
      <c r="G100" t="s">
        <v>48</v>
      </c>
      <c r="H100" t="str">
        <f>IFERROR(INDEX(Area_Map!$C:$C,MATCH(A100,Area_Map!$A:$A,0)),"Fora RDC")</f>
        <v>RDC</v>
      </c>
    </row>
    <row r="101" spans="1:8" x14ac:dyDescent="0.25">
      <c r="A101" t="s">
        <v>46</v>
      </c>
      <c r="B101">
        <v>1059</v>
      </c>
      <c r="C101" t="s">
        <v>222</v>
      </c>
      <c r="D101" t="s">
        <v>384</v>
      </c>
      <c r="E101">
        <v>262</v>
      </c>
      <c r="F101" t="s">
        <v>543</v>
      </c>
      <c r="G101" t="s">
        <v>47</v>
      </c>
      <c r="H101" t="str">
        <f>IFERROR(INDEX(Area_Map!$C:$C,MATCH(A101,Area_Map!$A:$A,0)),"Fora RDC")</f>
        <v>RDC</v>
      </c>
    </row>
    <row r="102" spans="1:8" x14ac:dyDescent="0.25">
      <c r="A102" t="s">
        <v>46</v>
      </c>
      <c r="B102">
        <v>1184</v>
      </c>
      <c r="C102" t="s">
        <v>223</v>
      </c>
      <c r="D102" t="s">
        <v>385</v>
      </c>
      <c r="E102">
        <v>11785</v>
      </c>
      <c r="F102" t="s">
        <v>544</v>
      </c>
      <c r="G102" t="s">
        <v>47</v>
      </c>
      <c r="H102" t="str">
        <f>IFERROR(INDEX(Area_Map!$C:$C,MATCH(A102,Area_Map!$A:$A,0)),"Fora RDC")</f>
        <v>RDC</v>
      </c>
    </row>
    <row r="103" spans="1:8" x14ac:dyDescent="0.25">
      <c r="A103" t="s">
        <v>46</v>
      </c>
      <c r="B103">
        <v>891</v>
      </c>
      <c r="C103" t="s">
        <v>224</v>
      </c>
      <c r="D103" t="s">
        <v>386</v>
      </c>
      <c r="E103">
        <v>207</v>
      </c>
      <c r="F103" t="s">
        <v>545</v>
      </c>
      <c r="G103" t="s">
        <v>47</v>
      </c>
      <c r="H103" t="str">
        <f>IFERROR(INDEX(Area_Map!$C:$C,MATCH(A103,Area_Map!$A:$A,0)),"Fora RDC")</f>
        <v>RDC</v>
      </c>
    </row>
    <row r="104" spans="1:8" x14ac:dyDescent="0.25">
      <c r="A104" t="s">
        <v>46</v>
      </c>
      <c r="B104">
        <v>207</v>
      </c>
      <c r="C104" t="s">
        <v>225</v>
      </c>
      <c r="D104" t="s">
        <v>387</v>
      </c>
      <c r="E104">
        <v>1184</v>
      </c>
      <c r="F104" t="s">
        <v>546</v>
      </c>
      <c r="G104" t="s">
        <v>49</v>
      </c>
      <c r="H104" t="str">
        <f>IFERROR(INDEX(Area_Map!$C:$C,MATCH(A104,Area_Map!$A:$A,0)),"Fora RDC")</f>
        <v>RDC</v>
      </c>
    </row>
    <row r="105" spans="1:8" x14ac:dyDescent="0.25">
      <c r="A105" t="s">
        <v>46</v>
      </c>
      <c r="B105">
        <v>439</v>
      </c>
      <c r="C105" t="s">
        <v>226</v>
      </c>
      <c r="D105" t="s">
        <v>388</v>
      </c>
      <c r="E105">
        <v>262</v>
      </c>
      <c r="F105" t="s">
        <v>547</v>
      </c>
      <c r="G105" t="s">
        <v>50</v>
      </c>
      <c r="H105" t="str">
        <f>IFERROR(INDEX(Area_Map!$C:$C,MATCH(A105,Area_Map!$A:$A,0)),"Fora RDC")</f>
        <v>RDC</v>
      </c>
    </row>
    <row r="106" spans="1:8" x14ac:dyDescent="0.25">
      <c r="A106" t="s">
        <v>46</v>
      </c>
      <c r="B106">
        <v>1215</v>
      </c>
      <c r="C106" t="s">
        <v>227</v>
      </c>
      <c r="D106" t="s">
        <v>389</v>
      </c>
      <c r="E106">
        <v>262</v>
      </c>
      <c r="F106" t="s">
        <v>548</v>
      </c>
      <c r="G106" t="s">
        <v>50</v>
      </c>
      <c r="H106" t="str">
        <f>IFERROR(INDEX(Area_Map!$C:$C,MATCH(A106,Area_Map!$A:$A,0)),"Fora RDC")</f>
        <v>RDC</v>
      </c>
    </row>
    <row r="107" spans="1:8" x14ac:dyDescent="0.25">
      <c r="A107" t="s">
        <v>46</v>
      </c>
      <c r="B107">
        <v>758</v>
      </c>
      <c r="C107" t="s">
        <v>228</v>
      </c>
      <c r="D107" t="s">
        <v>390</v>
      </c>
      <c r="E107">
        <v>262</v>
      </c>
      <c r="F107" t="s">
        <v>549</v>
      </c>
      <c r="G107" t="s">
        <v>47</v>
      </c>
      <c r="H107" t="str">
        <f>IFERROR(INDEX(Area_Map!$C:$C,MATCH(A107,Area_Map!$A:$A,0)),"Fora RDC")</f>
        <v>RDC</v>
      </c>
    </row>
    <row r="108" spans="1:8" x14ac:dyDescent="0.25">
      <c r="A108" t="s">
        <v>46</v>
      </c>
      <c r="B108">
        <v>262</v>
      </c>
      <c r="C108" t="s">
        <v>229</v>
      </c>
      <c r="D108" t="s">
        <v>391</v>
      </c>
      <c r="E108">
        <v>1184</v>
      </c>
      <c r="F108" t="s">
        <v>550</v>
      </c>
      <c r="G108" t="s">
        <v>50</v>
      </c>
      <c r="H108" t="str">
        <f>IFERROR(INDEX(Area_Map!$C:$C,MATCH(A108,Area_Map!$A:$A,0)),"Fora RDC")</f>
        <v>RDC</v>
      </c>
    </row>
    <row r="109" spans="1:8" x14ac:dyDescent="0.25">
      <c r="A109" t="s">
        <v>46</v>
      </c>
      <c r="B109">
        <v>11867</v>
      </c>
      <c r="C109" t="s">
        <v>230</v>
      </c>
      <c r="D109" t="s">
        <v>392</v>
      </c>
      <c r="E109">
        <v>262</v>
      </c>
      <c r="F109" t="s">
        <v>551</v>
      </c>
      <c r="G109" t="s">
        <v>47</v>
      </c>
      <c r="H109" t="str">
        <f>IFERROR(INDEX(Area_Map!$C:$C,MATCH(A109,Area_Map!$A:$A,0)),"Fora RDC")</f>
        <v>RDC</v>
      </c>
    </row>
    <row r="110" spans="1:8" x14ac:dyDescent="0.25">
      <c r="A110" t="s">
        <v>46</v>
      </c>
      <c r="B110">
        <v>11729</v>
      </c>
      <c r="C110" t="s">
        <v>231</v>
      </c>
      <c r="D110" t="s">
        <v>393</v>
      </c>
      <c r="E110">
        <v>262</v>
      </c>
      <c r="F110" t="s">
        <v>552</v>
      </c>
      <c r="G110" t="s">
        <v>47</v>
      </c>
      <c r="H110" t="str">
        <f>IFERROR(INDEX(Area_Map!$C:$C,MATCH(A110,Area_Map!$A:$A,0)),"Fora RDC")</f>
        <v>RDC</v>
      </c>
    </row>
    <row r="111" spans="1:8" x14ac:dyDescent="0.25">
      <c r="A111" t="s">
        <v>46</v>
      </c>
      <c r="B111">
        <v>923</v>
      </c>
      <c r="C111" t="s">
        <v>232</v>
      </c>
      <c r="D111" t="s">
        <v>394</v>
      </c>
      <c r="E111">
        <v>207</v>
      </c>
      <c r="F111" t="s">
        <v>553</v>
      </c>
      <c r="G111" t="s">
        <v>49</v>
      </c>
      <c r="H111" t="str">
        <f>IFERROR(INDEX(Area_Map!$C:$C,MATCH(A111,Area_Map!$A:$A,0)),"Fora RDC")</f>
        <v>RDC</v>
      </c>
    </row>
    <row r="112" spans="1:8" x14ac:dyDescent="0.25">
      <c r="A112" t="s">
        <v>46</v>
      </c>
      <c r="B112">
        <v>11714</v>
      </c>
      <c r="C112" t="s">
        <v>233</v>
      </c>
      <c r="D112" t="s">
        <v>395</v>
      </c>
      <c r="E112">
        <v>207</v>
      </c>
      <c r="F112" t="s">
        <v>554</v>
      </c>
      <c r="G112" t="s">
        <v>51</v>
      </c>
      <c r="H112" t="str">
        <f>IFERROR(INDEX(Area_Map!$C:$C,MATCH(A112,Area_Map!$A:$A,0)),"Fora RDC")</f>
        <v>RDC</v>
      </c>
    </row>
    <row r="113" spans="1:8" x14ac:dyDescent="0.25">
      <c r="A113" t="s">
        <v>46</v>
      </c>
      <c r="B113">
        <v>530</v>
      </c>
      <c r="C113" t="s">
        <v>234</v>
      </c>
      <c r="D113" t="s">
        <v>396</v>
      </c>
      <c r="E113">
        <v>207</v>
      </c>
      <c r="F113" t="s">
        <v>555</v>
      </c>
      <c r="G113" t="s">
        <v>51</v>
      </c>
      <c r="H113" t="str">
        <f>IFERROR(INDEX(Area_Map!$C:$C,MATCH(A113,Area_Map!$A:$A,0)),"Fora RDC")</f>
        <v>RDC</v>
      </c>
    </row>
    <row r="114" spans="1:8" x14ac:dyDescent="0.25">
      <c r="A114" t="s">
        <v>52</v>
      </c>
      <c r="B114">
        <v>1195</v>
      </c>
      <c r="C114" t="s">
        <v>235</v>
      </c>
      <c r="D114" t="s">
        <v>397</v>
      </c>
      <c r="E114">
        <v>175</v>
      </c>
      <c r="F114" t="s">
        <v>556</v>
      </c>
      <c r="G114" t="s">
        <v>53</v>
      </c>
      <c r="H114" t="str">
        <f>IFERROR(INDEX(Area_Map!$C:$C,MATCH(A114,Area_Map!$A:$A,0)),"Fora RDC")</f>
        <v>RDC apoio</v>
      </c>
    </row>
    <row r="115" spans="1:8" x14ac:dyDescent="0.25">
      <c r="A115" t="s">
        <v>52</v>
      </c>
      <c r="B115">
        <v>11861</v>
      </c>
      <c r="C115" t="s">
        <v>236</v>
      </c>
      <c r="D115" t="s">
        <v>398</v>
      </c>
      <c r="E115">
        <v>956</v>
      </c>
      <c r="F115" t="s">
        <v>557</v>
      </c>
      <c r="G115" t="s">
        <v>54</v>
      </c>
      <c r="H115" t="str">
        <f>IFERROR(INDEX(Area_Map!$C:$C,MATCH(A115,Area_Map!$A:$A,0)),"Fora RDC")</f>
        <v>RDC apoio</v>
      </c>
    </row>
    <row r="116" spans="1:8" x14ac:dyDescent="0.25">
      <c r="A116" t="s">
        <v>52</v>
      </c>
      <c r="B116">
        <v>175</v>
      </c>
      <c r="C116" t="s">
        <v>237</v>
      </c>
      <c r="D116" t="s">
        <v>399</v>
      </c>
      <c r="E116">
        <v>1171</v>
      </c>
      <c r="F116" t="s">
        <v>558</v>
      </c>
      <c r="G116" t="s">
        <v>53</v>
      </c>
      <c r="H116" t="str">
        <f>IFERROR(INDEX(Area_Map!$C:$C,MATCH(A116,Area_Map!$A:$A,0)),"Fora RDC")</f>
        <v>RDC apoio</v>
      </c>
    </row>
    <row r="117" spans="1:8" x14ac:dyDescent="0.25">
      <c r="A117" t="s">
        <v>52</v>
      </c>
      <c r="B117">
        <v>998</v>
      </c>
      <c r="C117" t="s">
        <v>238</v>
      </c>
      <c r="D117" t="s">
        <v>400</v>
      </c>
      <c r="E117">
        <v>775</v>
      </c>
      <c r="F117" t="s">
        <v>559</v>
      </c>
      <c r="G117" t="s">
        <v>54</v>
      </c>
      <c r="H117" t="str">
        <f>IFERROR(INDEX(Area_Map!$C:$C,MATCH(A117,Area_Map!$A:$A,0)),"Fora RDC")</f>
        <v>RDC apoio</v>
      </c>
    </row>
    <row r="118" spans="1:8" x14ac:dyDescent="0.25">
      <c r="A118" t="s">
        <v>52</v>
      </c>
      <c r="B118">
        <v>711</v>
      </c>
      <c r="C118" t="s">
        <v>239</v>
      </c>
      <c r="D118" t="s">
        <v>401</v>
      </c>
      <c r="E118">
        <v>956</v>
      </c>
      <c r="F118" t="s">
        <v>560</v>
      </c>
      <c r="G118" t="s">
        <v>54</v>
      </c>
      <c r="H118" t="str">
        <f>IFERROR(INDEX(Area_Map!$C:$C,MATCH(A118,Area_Map!$A:$A,0)),"Fora RDC")</f>
        <v>RDC apoio</v>
      </c>
    </row>
    <row r="119" spans="1:8" x14ac:dyDescent="0.25">
      <c r="A119" t="s">
        <v>52</v>
      </c>
      <c r="B119">
        <v>97</v>
      </c>
      <c r="C119" t="s">
        <v>240</v>
      </c>
      <c r="D119" t="s">
        <v>402</v>
      </c>
      <c r="E119">
        <v>998</v>
      </c>
      <c r="F119" t="s">
        <v>561</v>
      </c>
      <c r="G119" t="s">
        <v>54</v>
      </c>
      <c r="H119" t="str">
        <f>IFERROR(INDEX(Area_Map!$C:$C,MATCH(A119,Area_Map!$A:$A,0)),"Fora RDC")</f>
        <v>RDC apoio</v>
      </c>
    </row>
    <row r="120" spans="1:8" x14ac:dyDescent="0.25">
      <c r="A120" t="s">
        <v>52</v>
      </c>
      <c r="B120">
        <v>11654</v>
      </c>
      <c r="C120" t="s">
        <v>241</v>
      </c>
      <c r="D120" t="s">
        <v>403</v>
      </c>
      <c r="E120">
        <v>956</v>
      </c>
      <c r="F120" t="s">
        <v>562</v>
      </c>
      <c r="G120" t="s">
        <v>54</v>
      </c>
      <c r="H120" t="str">
        <f>IFERROR(INDEX(Area_Map!$C:$C,MATCH(A120,Area_Map!$A:$A,0)),"Fora RDC")</f>
        <v>RDC apoio</v>
      </c>
    </row>
    <row r="121" spans="1:8" x14ac:dyDescent="0.25">
      <c r="A121" t="s">
        <v>52</v>
      </c>
      <c r="B121">
        <v>956</v>
      </c>
      <c r="C121" t="s">
        <v>242</v>
      </c>
      <c r="D121" t="s">
        <v>404</v>
      </c>
      <c r="E121">
        <v>775</v>
      </c>
      <c r="F121" t="s">
        <v>563</v>
      </c>
      <c r="G121" t="s">
        <v>54</v>
      </c>
      <c r="H121" t="str">
        <f>IFERROR(INDEX(Area_Map!$C:$C,MATCH(A121,Area_Map!$A:$A,0)),"Fora RDC")</f>
        <v>RDC apoio</v>
      </c>
    </row>
    <row r="122" spans="1:8" x14ac:dyDescent="0.25">
      <c r="A122" t="s">
        <v>52</v>
      </c>
      <c r="B122">
        <v>573</v>
      </c>
      <c r="C122" t="s">
        <v>243</v>
      </c>
      <c r="D122" t="s">
        <v>405</v>
      </c>
      <c r="E122">
        <v>175</v>
      </c>
      <c r="F122" t="s">
        <v>564</v>
      </c>
      <c r="G122" t="s">
        <v>53</v>
      </c>
      <c r="H122" t="str">
        <f>IFERROR(INDEX(Area_Map!$C:$C,MATCH(A122,Area_Map!$A:$A,0)),"Fora RDC")</f>
        <v>RDC apoio</v>
      </c>
    </row>
    <row r="123" spans="1:8" x14ac:dyDescent="0.25">
      <c r="A123" t="s">
        <v>52</v>
      </c>
      <c r="B123">
        <v>1161</v>
      </c>
      <c r="C123" t="s">
        <v>244</v>
      </c>
      <c r="D123" t="s">
        <v>406</v>
      </c>
      <c r="E123">
        <v>956</v>
      </c>
      <c r="F123" t="s">
        <v>565</v>
      </c>
      <c r="G123" t="s">
        <v>54</v>
      </c>
      <c r="H123" t="str">
        <f>IFERROR(INDEX(Area_Map!$C:$C,MATCH(A123,Area_Map!$A:$A,0)),"Fora RDC")</f>
        <v>RDC apoio</v>
      </c>
    </row>
    <row r="124" spans="1:8" x14ac:dyDescent="0.25">
      <c r="A124" t="s">
        <v>52</v>
      </c>
      <c r="B124">
        <v>911</v>
      </c>
      <c r="C124" t="s">
        <v>245</v>
      </c>
      <c r="D124" t="s">
        <v>407</v>
      </c>
      <c r="E124">
        <v>573</v>
      </c>
      <c r="F124" t="s">
        <v>566</v>
      </c>
      <c r="G124" t="s">
        <v>53</v>
      </c>
      <c r="H124" t="str">
        <f>IFERROR(INDEX(Area_Map!$C:$C,MATCH(A124,Area_Map!$A:$A,0)),"Fora RDC")</f>
        <v>RDC apoio</v>
      </c>
    </row>
    <row r="125" spans="1:8" x14ac:dyDescent="0.25">
      <c r="A125" t="s">
        <v>55</v>
      </c>
      <c r="B125">
        <v>387</v>
      </c>
      <c r="C125" t="s">
        <v>246</v>
      </c>
      <c r="D125" t="s">
        <v>408</v>
      </c>
      <c r="E125">
        <v>290</v>
      </c>
      <c r="F125" t="s">
        <v>567</v>
      </c>
      <c r="G125" t="s">
        <v>56</v>
      </c>
      <c r="H125" t="str">
        <f>IFERROR(INDEX(Area_Map!$C:$C,MATCH(A125,Area_Map!$A:$A,0)),"Fora RDC")</f>
        <v>RDC</v>
      </c>
    </row>
    <row r="126" spans="1:8" x14ac:dyDescent="0.25">
      <c r="A126" t="s">
        <v>55</v>
      </c>
      <c r="B126">
        <v>30</v>
      </c>
      <c r="C126" t="s">
        <v>247</v>
      </c>
      <c r="D126" t="s">
        <v>409</v>
      </c>
      <c r="E126">
        <v>290</v>
      </c>
      <c r="F126" t="s">
        <v>568</v>
      </c>
      <c r="G126" t="s">
        <v>56</v>
      </c>
      <c r="H126" t="str">
        <f>IFERROR(INDEX(Area_Map!$C:$C,MATCH(A126,Area_Map!$A:$A,0)),"Fora RDC")</f>
        <v>RDC</v>
      </c>
    </row>
    <row r="127" spans="1:8" x14ac:dyDescent="0.25">
      <c r="A127" t="s">
        <v>55</v>
      </c>
      <c r="B127">
        <v>19</v>
      </c>
      <c r="C127" t="s">
        <v>248</v>
      </c>
      <c r="D127" t="s">
        <v>410</v>
      </c>
      <c r="E127">
        <v>11785</v>
      </c>
      <c r="F127" t="s">
        <v>569</v>
      </c>
      <c r="G127" t="s">
        <v>57</v>
      </c>
      <c r="H127" t="str">
        <f>IFERROR(INDEX(Area_Map!$C:$C,MATCH(A127,Area_Map!$A:$A,0)),"Fora RDC")</f>
        <v>RDC</v>
      </c>
    </row>
    <row r="128" spans="1:8" x14ac:dyDescent="0.25">
      <c r="A128" t="s">
        <v>55</v>
      </c>
      <c r="B128">
        <v>745</v>
      </c>
      <c r="C128" t="s">
        <v>249</v>
      </c>
      <c r="D128" t="s">
        <v>411</v>
      </c>
      <c r="E128">
        <v>290</v>
      </c>
      <c r="F128" t="s">
        <v>570</v>
      </c>
      <c r="G128" t="s">
        <v>56</v>
      </c>
      <c r="H128" t="str">
        <f>IFERROR(INDEX(Area_Map!$C:$C,MATCH(A128,Area_Map!$A:$A,0)),"Fora RDC")</f>
        <v>RDC</v>
      </c>
    </row>
    <row r="129" spans="1:8" x14ac:dyDescent="0.25">
      <c r="A129" t="s">
        <v>55</v>
      </c>
      <c r="B129">
        <v>982</v>
      </c>
      <c r="C129" t="s">
        <v>250</v>
      </c>
      <c r="D129" t="s">
        <v>412</v>
      </c>
      <c r="E129">
        <v>36</v>
      </c>
      <c r="F129" t="s">
        <v>571</v>
      </c>
      <c r="G129" t="s">
        <v>56</v>
      </c>
      <c r="H129" t="str">
        <f>IFERROR(INDEX(Area_Map!$C:$C,MATCH(A129,Area_Map!$A:$A,0)),"Fora RDC")</f>
        <v>RDC</v>
      </c>
    </row>
    <row r="130" spans="1:8" x14ac:dyDescent="0.25">
      <c r="A130" t="s">
        <v>55</v>
      </c>
      <c r="B130">
        <v>984</v>
      </c>
      <c r="C130" t="s">
        <v>251</v>
      </c>
      <c r="D130" t="s">
        <v>413</v>
      </c>
      <c r="E130">
        <v>19</v>
      </c>
      <c r="F130" t="s">
        <v>572</v>
      </c>
      <c r="G130" t="s">
        <v>56</v>
      </c>
      <c r="H130" t="str">
        <f>IFERROR(INDEX(Area_Map!$C:$C,MATCH(A130,Area_Map!$A:$A,0)),"Fora RDC")</f>
        <v>RDC</v>
      </c>
    </row>
    <row r="131" spans="1:8" x14ac:dyDescent="0.25">
      <c r="A131" t="s">
        <v>55</v>
      </c>
      <c r="B131">
        <v>878</v>
      </c>
      <c r="C131" t="s">
        <v>252</v>
      </c>
      <c r="D131" t="s">
        <v>414</v>
      </c>
      <c r="E131">
        <v>36</v>
      </c>
      <c r="F131" t="s">
        <v>573</v>
      </c>
      <c r="G131" t="s">
        <v>57</v>
      </c>
      <c r="H131" t="str">
        <f>IFERROR(INDEX(Area_Map!$C:$C,MATCH(A131,Area_Map!$A:$A,0)),"Fora RDC")</f>
        <v>RDC</v>
      </c>
    </row>
    <row r="132" spans="1:8" x14ac:dyDescent="0.25">
      <c r="A132" t="s">
        <v>55</v>
      </c>
      <c r="B132">
        <v>1069</v>
      </c>
      <c r="C132" t="s">
        <v>253</v>
      </c>
      <c r="D132" t="s">
        <v>415</v>
      </c>
      <c r="E132">
        <v>290</v>
      </c>
      <c r="F132" t="s">
        <v>574</v>
      </c>
      <c r="G132" t="s">
        <v>56</v>
      </c>
      <c r="H132" t="str">
        <f>IFERROR(INDEX(Area_Map!$C:$C,MATCH(A132,Area_Map!$A:$A,0)),"Fora RDC")</f>
        <v>RDC</v>
      </c>
    </row>
    <row r="133" spans="1:8" x14ac:dyDescent="0.25">
      <c r="A133" t="s">
        <v>55</v>
      </c>
      <c r="B133">
        <v>674</v>
      </c>
      <c r="C133" t="s">
        <v>254</v>
      </c>
      <c r="D133" t="s">
        <v>416</v>
      </c>
      <c r="E133">
        <v>36</v>
      </c>
      <c r="F133" t="s">
        <v>575</v>
      </c>
      <c r="G133" t="s">
        <v>57</v>
      </c>
      <c r="H133" t="str">
        <f>IFERROR(INDEX(Area_Map!$C:$C,MATCH(A133,Area_Map!$A:$A,0)),"Fora RDC")</f>
        <v>RDC</v>
      </c>
    </row>
    <row r="134" spans="1:8" x14ac:dyDescent="0.25">
      <c r="A134" t="s">
        <v>55</v>
      </c>
      <c r="B134">
        <v>299</v>
      </c>
      <c r="C134" t="s">
        <v>255</v>
      </c>
      <c r="D134" t="s">
        <v>417</v>
      </c>
      <c r="E134">
        <v>290</v>
      </c>
      <c r="F134" t="s">
        <v>576</v>
      </c>
      <c r="G134" t="s">
        <v>56</v>
      </c>
      <c r="H134" t="str">
        <f>IFERROR(INDEX(Area_Map!$C:$C,MATCH(A134,Area_Map!$A:$A,0)),"Fora RDC")</f>
        <v>RDC</v>
      </c>
    </row>
    <row r="135" spans="1:8" x14ac:dyDescent="0.25">
      <c r="A135" t="s">
        <v>55</v>
      </c>
      <c r="B135">
        <v>290</v>
      </c>
      <c r="C135" t="s">
        <v>256</v>
      </c>
      <c r="D135" t="s">
        <v>418</v>
      </c>
      <c r="E135">
        <v>11785</v>
      </c>
      <c r="F135" t="s">
        <v>577</v>
      </c>
      <c r="G135" t="s">
        <v>56</v>
      </c>
      <c r="H135" t="str">
        <f>IFERROR(INDEX(Area_Map!$C:$C,MATCH(A135,Area_Map!$A:$A,0)),"Fora RDC")</f>
        <v>RDC</v>
      </c>
    </row>
    <row r="136" spans="1:8" x14ac:dyDescent="0.25">
      <c r="A136" t="s">
        <v>55</v>
      </c>
      <c r="B136">
        <v>239</v>
      </c>
      <c r="C136" t="s">
        <v>257</v>
      </c>
      <c r="D136" t="s">
        <v>419</v>
      </c>
      <c r="E136">
        <v>290</v>
      </c>
      <c r="F136" t="s">
        <v>578</v>
      </c>
      <c r="G136" t="s">
        <v>56</v>
      </c>
      <c r="H136" t="str">
        <f>IFERROR(INDEX(Area_Map!$C:$C,MATCH(A136,Area_Map!$A:$A,0)),"Fora RDC")</f>
        <v>RDC</v>
      </c>
    </row>
    <row r="137" spans="1:8" x14ac:dyDescent="0.25">
      <c r="A137" t="s">
        <v>55</v>
      </c>
      <c r="B137">
        <v>889</v>
      </c>
      <c r="C137" t="s">
        <v>258</v>
      </c>
      <c r="D137" t="s">
        <v>420</v>
      </c>
      <c r="E137">
        <v>36</v>
      </c>
      <c r="F137" t="s">
        <v>579</v>
      </c>
      <c r="G137" t="s">
        <v>57</v>
      </c>
      <c r="H137" t="str">
        <f>IFERROR(INDEX(Area_Map!$C:$C,MATCH(A137,Area_Map!$A:$A,0)),"Fora RDC")</f>
        <v>RDC</v>
      </c>
    </row>
    <row r="138" spans="1:8" x14ac:dyDescent="0.25">
      <c r="A138" t="s">
        <v>58</v>
      </c>
      <c r="B138">
        <v>1068</v>
      </c>
      <c r="C138" t="s">
        <v>259</v>
      </c>
      <c r="D138" t="s">
        <v>421</v>
      </c>
      <c r="E138">
        <v>179</v>
      </c>
      <c r="F138" t="s">
        <v>580</v>
      </c>
      <c r="G138" t="s">
        <v>59</v>
      </c>
      <c r="H138" t="str">
        <f>IFERROR(INDEX(Area_Map!$C:$C,MATCH(A138,Area_Map!$A:$A,0)),"Fora RDC")</f>
        <v>RDC</v>
      </c>
    </row>
    <row r="139" spans="1:8" x14ac:dyDescent="0.25">
      <c r="A139" t="s">
        <v>58</v>
      </c>
      <c r="B139">
        <v>11744</v>
      </c>
      <c r="C139" t="s">
        <v>260</v>
      </c>
      <c r="D139" t="s">
        <v>422</v>
      </c>
      <c r="E139">
        <v>949</v>
      </c>
      <c r="F139" t="s">
        <v>581</v>
      </c>
      <c r="G139" t="s">
        <v>60</v>
      </c>
      <c r="H139" t="str">
        <f>IFERROR(INDEX(Area_Map!$C:$C,MATCH(A139,Area_Map!$A:$A,0)),"Fora RDC")</f>
        <v>RDC</v>
      </c>
    </row>
    <row r="140" spans="1:8" x14ac:dyDescent="0.25">
      <c r="A140" t="s">
        <v>58</v>
      </c>
      <c r="B140">
        <v>1017</v>
      </c>
      <c r="C140" t="s">
        <v>261</v>
      </c>
      <c r="D140" t="s">
        <v>423</v>
      </c>
      <c r="E140">
        <v>161</v>
      </c>
      <c r="F140" t="s">
        <v>582</v>
      </c>
      <c r="G140" t="s">
        <v>61</v>
      </c>
      <c r="H140" t="str">
        <f>IFERROR(INDEX(Area_Map!$C:$C,MATCH(A140,Area_Map!$A:$A,0)),"Fora RDC")</f>
        <v>RDC</v>
      </c>
    </row>
    <row r="141" spans="1:8" x14ac:dyDescent="0.25">
      <c r="A141" t="s">
        <v>58</v>
      </c>
      <c r="B141">
        <v>388</v>
      </c>
      <c r="C141" t="s">
        <v>262</v>
      </c>
      <c r="D141" t="s">
        <v>424</v>
      </c>
      <c r="E141">
        <v>179</v>
      </c>
      <c r="F141" t="s">
        <v>583</v>
      </c>
      <c r="G141" t="s">
        <v>59</v>
      </c>
      <c r="H141" t="str">
        <f>IFERROR(INDEX(Area_Map!$C:$C,MATCH(A141,Area_Map!$A:$A,0)),"Fora RDC")</f>
        <v>RDC</v>
      </c>
    </row>
    <row r="142" spans="1:8" x14ac:dyDescent="0.25">
      <c r="A142" t="s">
        <v>58</v>
      </c>
      <c r="B142">
        <v>11728</v>
      </c>
      <c r="C142" t="s">
        <v>263</v>
      </c>
      <c r="D142" t="s">
        <v>425</v>
      </c>
      <c r="E142">
        <v>11785</v>
      </c>
      <c r="F142" t="s">
        <v>584</v>
      </c>
      <c r="G142" t="s">
        <v>60</v>
      </c>
      <c r="H142" t="str">
        <f>IFERROR(INDEX(Area_Map!$C:$C,MATCH(A142,Area_Map!$A:$A,0)),"Fora RDC")</f>
        <v>RDC</v>
      </c>
    </row>
    <row r="143" spans="1:8" x14ac:dyDescent="0.25">
      <c r="A143" t="s">
        <v>58</v>
      </c>
      <c r="B143">
        <v>179</v>
      </c>
      <c r="C143" t="s">
        <v>264</v>
      </c>
      <c r="D143" t="s">
        <v>426</v>
      </c>
      <c r="E143">
        <v>11785</v>
      </c>
      <c r="F143" t="s">
        <v>585</v>
      </c>
      <c r="G143" t="s">
        <v>59</v>
      </c>
      <c r="H143" t="str">
        <f>IFERROR(INDEX(Area_Map!$C:$C,MATCH(A143,Area_Map!$A:$A,0)),"Fora RDC")</f>
        <v>RDC</v>
      </c>
    </row>
    <row r="144" spans="1:8" x14ac:dyDescent="0.25">
      <c r="A144" t="s">
        <v>58</v>
      </c>
      <c r="B144">
        <v>804</v>
      </c>
      <c r="C144" t="s">
        <v>265</v>
      </c>
      <c r="D144" t="s">
        <v>427</v>
      </c>
      <c r="E144">
        <v>161</v>
      </c>
      <c r="F144" t="s">
        <v>586</v>
      </c>
      <c r="G144" t="s">
        <v>61</v>
      </c>
      <c r="H144" t="str">
        <f>IFERROR(INDEX(Area_Map!$C:$C,MATCH(A144,Area_Map!$A:$A,0)),"Fora RDC")</f>
        <v>RDC</v>
      </c>
    </row>
    <row r="145" spans="1:8" x14ac:dyDescent="0.25">
      <c r="A145" t="s">
        <v>58</v>
      </c>
      <c r="B145">
        <v>949</v>
      </c>
      <c r="C145" t="s">
        <v>266</v>
      </c>
      <c r="D145" t="s">
        <v>428</v>
      </c>
      <c r="E145">
        <v>11785</v>
      </c>
      <c r="F145" t="s">
        <v>587</v>
      </c>
      <c r="G145" t="s">
        <v>60</v>
      </c>
      <c r="H145" t="str">
        <f>IFERROR(INDEX(Area_Map!$C:$C,MATCH(A145,Area_Map!$A:$A,0)),"Fora RDC")</f>
        <v>RDC</v>
      </c>
    </row>
    <row r="146" spans="1:8" x14ac:dyDescent="0.25">
      <c r="A146" t="s">
        <v>58</v>
      </c>
      <c r="B146">
        <v>161</v>
      </c>
      <c r="C146" t="s">
        <v>267</v>
      </c>
      <c r="D146" t="s">
        <v>429</v>
      </c>
      <c r="E146">
        <v>1171</v>
      </c>
      <c r="F146" t="s">
        <v>588</v>
      </c>
      <c r="G146" t="s">
        <v>61</v>
      </c>
      <c r="H146" t="str">
        <f>IFERROR(INDEX(Area_Map!$C:$C,MATCH(A146,Area_Map!$A:$A,0)),"Fora RDC")</f>
        <v>RDC</v>
      </c>
    </row>
    <row r="147" spans="1:8" x14ac:dyDescent="0.25">
      <c r="A147" t="s">
        <v>58</v>
      </c>
      <c r="B147">
        <v>661</v>
      </c>
      <c r="C147" t="s">
        <v>268</v>
      </c>
      <c r="D147" t="s">
        <v>430</v>
      </c>
      <c r="E147">
        <v>161</v>
      </c>
      <c r="F147" t="s">
        <v>589</v>
      </c>
      <c r="G147" t="s">
        <v>61</v>
      </c>
      <c r="H147" t="str">
        <f>IFERROR(INDEX(Area_Map!$C:$C,MATCH(A147,Area_Map!$A:$A,0)),"Fora RDC")</f>
        <v>RDC</v>
      </c>
    </row>
    <row r="148" spans="1:8" x14ac:dyDescent="0.25">
      <c r="A148" t="s">
        <v>58</v>
      </c>
      <c r="B148">
        <v>241</v>
      </c>
      <c r="C148" t="s">
        <v>269</v>
      </c>
      <c r="D148" t="s">
        <v>431</v>
      </c>
      <c r="E148">
        <v>161</v>
      </c>
      <c r="F148" t="s">
        <v>590</v>
      </c>
      <c r="G148" t="s">
        <v>61</v>
      </c>
      <c r="H148" t="str">
        <f>IFERROR(INDEX(Area_Map!$C:$C,MATCH(A148,Area_Map!$A:$A,0)),"Fora RDC")</f>
        <v>RDC</v>
      </c>
    </row>
    <row r="149" spans="1:8" x14ac:dyDescent="0.25">
      <c r="A149" t="s">
        <v>58</v>
      </c>
      <c r="B149">
        <v>4700</v>
      </c>
      <c r="C149" t="s">
        <v>270</v>
      </c>
      <c r="D149" t="s">
        <v>432</v>
      </c>
      <c r="E149">
        <v>161</v>
      </c>
      <c r="F149" t="s">
        <v>591</v>
      </c>
      <c r="G149" t="s">
        <v>61</v>
      </c>
      <c r="H149" t="str">
        <f>IFERROR(INDEX(Area_Map!$C:$C,MATCH(A149,Area_Map!$A:$A,0)),"Fora RDC")</f>
        <v>RDC</v>
      </c>
    </row>
    <row r="150" spans="1:8" x14ac:dyDescent="0.25">
      <c r="A150" t="s">
        <v>62</v>
      </c>
      <c r="B150">
        <v>9000</v>
      </c>
      <c r="C150" t="s">
        <v>271</v>
      </c>
      <c r="D150" t="s">
        <v>433</v>
      </c>
      <c r="E150">
        <v>997</v>
      </c>
      <c r="F150" t="s">
        <v>592</v>
      </c>
      <c r="G150" t="s">
        <v>63</v>
      </c>
      <c r="H150" t="str">
        <f>IFERROR(INDEX(Area_Map!$C:$C,MATCH(A150,Area_Map!$A:$A,0)),"Fora RDC")</f>
        <v>RDC apoio</v>
      </c>
    </row>
    <row r="151" spans="1:8" x14ac:dyDescent="0.25">
      <c r="A151" t="s">
        <v>62</v>
      </c>
      <c r="B151">
        <v>11671</v>
      </c>
      <c r="C151" t="s">
        <v>272</v>
      </c>
      <c r="D151" t="s">
        <v>434</v>
      </c>
      <c r="E151">
        <v>997</v>
      </c>
      <c r="F151" t="s">
        <v>593</v>
      </c>
      <c r="G151" t="s">
        <v>63</v>
      </c>
      <c r="H151" t="str">
        <f>IFERROR(INDEX(Area_Map!$C:$C,MATCH(A151,Area_Map!$A:$A,0)),"Fora RDC")</f>
        <v>RDC apoio</v>
      </c>
    </row>
    <row r="152" spans="1:8" x14ac:dyDescent="0.25">
      <c r="A152" t="s">
        <v>62</v>
      </c>
      <c r="B152">
        <v>997</v>
      </c>
      <c r="C152" t="s">
        <v>273</v>
      </c>
      <c r="D152" t="s">
        <v>435</v>
      </c>
      <c r="E152">
        <v>1171</v>
      </c>
      <c r="F152" t="s">
        <v>594</v>
      </c>
      <c r="G152" t="s">
        <v>63</v>
      </c>
      <c r="H152" t="str">
        <f>IFERROR(INDEX(Area_Map!$C:$C,MATCH(A152,Area_Map!$A:$A,0)),"Fora RDC")</f>
        <v>RDC apoio</v>
      </c>
    </row>
    <row r="153" spans="1:8" x14ac:dyDescent="0.25">
      <c r="A153" t="s">
        <v>62</v>
      </c>
      <c r="B153">
        <v>11780</v>
      </c>
      <c r="C153" t="s">
        <v>274</v>
      </c>
      <c r="D153" t="s">
        <v>436</v>
      </c>
      <c r="E153">
        <v>997</v>
      </c>
      <c r="F153" t="s">
        <v>595</v>
      </c>
      <c r="G153" t="s">
        <v>63</v>
      </c>
      <c r="H153" t="str">
        <f>IFERROR(INDEX(Area_Map!$C:$C,MATCH(A153,Area_Map!$A:$A,0)),"Fora RDC")</f>
        <v>RDC apoio</v>
      </c>
    </row>
    <row r="154" spans="1:8" x14ac:dyDescent="0.25">
      <c r="A154" t="s">
        <v>62</v>
      </c>
      <c r="B154">
        <v>11358</v>
      </c>
      <c r="C154" t="s">
        <v>275</v>
      </c>
      <c r="D154" t="s">
        <v>437</v>
      </c>
      <c r="E154">
        <v>997</v>
      </c>
      <c r="F154" t="s">
        <v>596</v>
      </c>
      <c r="G154" t="s">
        <v>63</v>
      </c>
      <c r="H154" t="str">
        <f>IFERROR(INDEX(Area_Map!$C:$C,MATCH(A154,Area_Map!$A:$A,0)),"Fora RDC")</f>
        <v>RDC apoio</v>
      </c>
    </row>
    <row r="155" spans="1:8" x14ac:dyDescent="0.25">
      <c r="A155" t="s">
        <v>62</v>
      </c>
      <c r="B155">
        <v>1014</v>
      </c>
      <c r="C155" t="s">
        <v>276</v>
      </c>
      <c r="D155" t="s">
        <v>438</v>
      </c>
      <c r="E155">
        <v>997</v>
      </c>
      <c r="F155" t="s">
        <v>597</v>
      </c>
      <c r="G155" t="s">
        <v>63</v>
      </c>
      <c r="H155" t="str">
        <f>IFERROR(INDEX(Area_Map!$C:$C,MATCH(A155,Area_Map!$A:$A,0)),"Fora RDC")</f>
        <v>RDC apoio</v>
      </c>
    </row>
    <row r="156" spans="1:8" x14ac:dyDescent="0.25">
      <c r="A156" t="s">
        <v>62</v>
      </c>
      <c r="B156">
        <v>1010</v>
      </c>
      <c r="C156" t="s">
        <v>277</v>
      </c>
      <c r="D156" t="s">
        <v>439</v>
      </c>
      <c r="E156">
        <v>997</v>
      </c>
      <c r="F156" t="s">
        <v>598</v>
      </c>
      <c r="G156" t="s">
        <v>63</v>
      </c>
      <c r="H156" t="str">
        <f>IFERROR(INDEX(Area_Map!$C:$C,MATCH(A156,Area_Map!$A:$A,0)),"Fora RDC")</f>
        <v>RDC apoio</v>
      </c>
    </row>
    <row r="157" spans="1:8" x14ac:dyDescent="0.25">
      <c r="A157" t="s">
        <v>62</v>
      </c>
      <c r="B157">
        <v>1165</v>
      </c>
      <c r="C157" t="s">
        <v>278</v>
      </c>
      <c r="D157" t="s">
        <v>440</v>
      </c>
      <c r="E157">
        <v>997</v>
      </c>
      <c r="F157" t="s">
        <v>599</v>
      </c>
      <c r="G157" t="s">
        <v>63</v>
      </c>
      <c r="H157" t="str">
        <f>IFERROR(INDEX(Area_Map!$C:$C,MATCH(A157,Area_Map!$A:$A,0)),"Fora RDC")</f>
        <v>RDC apoio</v>
      </c>
    </row>
    <row r="158" spans="1:8" x14ac:dyDescent="0.25">
      <c r="A158" t="s">
        <v>62</v>
      </c>
      <c r="B158">
        <v>1105</v>
      </c>
      <c r="C158" t="s">
        <v>279</v>
      </c>
      <c r="D158" t="s">
        <v>441</v>
      </c>
      <c r="E158">
        <v>997</v>
      </c>
      <c r="F158" t="s">
        <v>600</v>
      </c>
      <c r="G158" t="s">
        <v>63</v>
      </c>
      <c r="H158" t="str">
        <f>IFERROR(INDEX(Area_Map!$C:$C,MATCH(A158,Area_Map!$A:$A,0)),"Fora RDC")</f>
        <v>RDC apoio</v>
      </c>
    </row>
    <row r="159" spans="1:8" x14ac:dyDescent="0.25">
      <c r="A159" t="s">
        <v>64</v>
      </c>
      <c r="B159">
        <v>721</v>
      </c>
      <c r="C159" t="s">
        <v>280</v>
      </c>
      <c r="D159" t="s">
        <v>442</v>
      </c>
      <c r="E159">
        <v>11663</v>
      </c>
      <c r="F159" t="s">
        <v>601</v>
      </c>
      <c r="G159" t="s">
        <v>65</v>
      </c>
      <c r="H159" t="str">
        <f>IFERROR(INDEX(Area_Map!$C:$C,MATCH(A159,Area_Map!$A:$A,0)),"Fora RDC")</f>
        <v>RDC</v>
      </c>
    </row>
    <row r="160" spans="1:8" x14ac:dyDescent="0.25">
      <c r="A160" t="s">
        <v>64</v>
      </c>
      <c r="B160">
        <v>11815</v>
      </c>
      <c r="C160" t="s">
        <v>281</v>
      </c>
      <c r="D160" t="s">
        <v>443</v>
      </c>
      <c r="E160">
        <v>11785</v>
      </c>
      <c r="F160" t="s">
        <v>602</v>
      </c>
      <c r="G160" t="s">
        <v>66</v>
      </c>
      <c r="H160" t="str">
        <f>IFERROR(INDEX(Area_Map!$C:$C,MATCH(A160,Area_Map!$A:$A,0)),"Fora RDC")</f>
        <v>RDC</v>
      </c>
    </row>
    <row r="161" spans="1:8" x14ac:dyDescent="0.25">
      <c r="A161" t="s">
        <v>64</v>
      </c>
      <c r="B161">
        <v>11663</v>
      </c>
      <c r="C161" t="s">
        <v>282</v>
      </c>
      <c r="D161" t="s">
        <v>444</v>
      </c>
      <c r="E161">
        <v>775</v>
      </c>
      <c r="F161" t="s">
        <v>603</v>
      </c>
      <c r="G161" t="s">
        <v>65</v>
      </c>
      <c r="H161" t="str">
        <f>IFERROR(INDEX(Area_Map!$C:$C,MATCH(A161,Area_Map!$A:$A,0)),"Fora RDC")</f>
        <v>RDC</v>
      </c>
    </row>
    <row r="162" spans="1:8" x14ac:dyDescent="0.25">
      <c r="A162" t="s">
        <v>64</v>
      </c>
      <c r="B162">
        <v>11785</v>
      </c>
      <c r="C162" t="s">
        <v>283</v>
      </c>
      <c r="D162" t="s">
        <v>445</v>
      </c>
      <c r="E162">
        <v>11663</v>
      </c>
      <c r="F162" t="s">
        <v>604</v>
      </c>
      <c r="G162" t="s">
        <v>66</v>
      </c>
      <c r="H162" t="str">
        <f>IFERROR(INDEX(Area_Map!$C:$C,MATCH(A162,Area_Map!$A:$A,0)),"Fora RDC")</f>
        <v>RDC</v>
      </c>
    </row>
    <row r="163" spans="1:8" x14ac:dyDescent="0.25">
      <c r="A163" t="s">
        <v>67</v>
      </c>
      <c r="B163">
        <v>1187</v>
      </c>
      <c r="C163" t="s">
        <v>284</v>
      </c>
      <c r="D163" t="s">
        <v>446</v>
      </c>
      <c r="E163">
        <v>11785</v>
      </c>
      <c r="F163" t="s">
        <v>605</v>
      </c>
      <c r="G163" t="s">
        <v>17</v>
      </c>
      <c r="H163" t="str">
        <f>IFERROR(INDEX(Area_Map!$C:$C,MATCH(A163,Area_Map!$A:$A,0)),"Fora RDC")</f>
        <v>RDC apoio</v>
      </c>
    </row>
  </sheetData>
  <autoFilter ref="A1:H16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21" customWidth="1"/>
    <col min="2" max="2" width="14" customWidth="1"/>
  </cols>
  <sheetData>
    <row r="1" spans="1:3" x14ac:dyDescent="0.25">
      <c r="A1" s="1" t="s">
        <v>68</v>
      </c>
      <c r="B1" s="1" t="s">
        <v>69</v>
      </c>
      <c r="C1" t="s">
        <v>7</v>
      </c>
    </row>
    <row r="2" spans="1:3" x14ac:dyDescent="0.25">
      <c r="A2" t="s">
        <v>8</v>
      </c>
      <c r="B2" t="s">
        <v>70</v>
      </c>
      <c r="C2" t="s">
        <v>71</v>
      </c>
    </row>
    <row r="3" spans="1:3" x14ac:dyDescent="0.25">
      <c r="A3" t="s">
        <v>58</v>
      </c>
      <c r="B3" t="s">
        <v>72</v>
      </c>
      <c r="C3" t="s">
        <v>71</v>
      </c>
    </row>
    <row r="4" spans="1:3" x14ac:dyDescent="0.25">
      <c r="A4" t="s">
        <v>39</v>
      </c>
      <c r="B4" t="s">
        <v>73</v>
      </c>
      <c r="C4" t="s">
        <v>71</v>
      </c>
    </row>
    <row r="5" spans="1:3" x14ac:dyDescent="0.25">
      <c r="A5" t="s">
        <v>55</v>
      </c>
      <c r="B5" t="s">
        <v>74</v>
      </c>
      <c r="C5" t="s">
        <v>71</v>
      </c>
    </row>
    <row r="6" spans="1:3" x14ac:dyDescent="0.25">
      <c r="A6" t="s">
        <v>46</v>
      </c>
      <c r="B6" t="s">
        <v>75</v>
      </c>
      <c r="C6" t="s">
        <v>71</v>
      </c>
    </row>
    <row r="7" spans="1:3" x14ac:dyDescent="0.25">
      <c r="A7" t="s">
        <v>23</v>
      </c>
      <c r="B7" t="s">
        <v>76</v>
      </c>
      <c r="C7" t="s">
        <v>71</v>
      </c>
    </row>
    <row r="8" spans="1:3" x14ac:dyDescent="0.25">
      <c r="A8" t="s">
        <v>15</v>
      </c>
      <c r="B8" t="s">
        <v>77</v>
      </c>
      <c r="C8" t="s">
        <v>71</v>
      </c>
    </row>
    <row r="9" spans="1:3" x14ac:dyDescent="0.25">
      <c r="A9" t="s">
        <v>64</v>
      </c>
      <c r="B9" t="s">
        <v>78</v>
      </c>
      <c r="C9" t="s">
        <v>71</v>
      </c>
    </row>
    <row r="10" spans="1:3" x14ac:dyDescent="0.25">
      <c r="A10" t="s">
        <v>79</v>
      </c>
      <c r="B10" t="s">
        <v>80</v>
      </c>
      <c r="C10" t="s">
        <v>71</v>
      </c>
    </row>
    <row r="11" spans="1:3" x14ac:dyDescent="0.25">
      <c r="A11" t="s">
        <v>12</v>
      </c>
      <c r="B11" t="s">
        <v>81</v>
      </c>
      <c r="C11" t="s">
        <v>82</v>
      </c>
    </row>
    <row r="12" spans="1:3" x14ac:dyDescent="0.25">
      <c r="A12" t="s">
        <v>13</v>
      </c>
      <c r="B12" t="s">
        <v>83</v>
      </c>
      <c r="C12" t="s">
        <v>82</v>
      </c>
    </row>
    <row r="13" spans="1:3" x14ac:dyDescent="0.25">
      <c r="A13" t="s">
        <v>18</v>
      </c>
      <c r="B13" t="s">
        <v>84</v>
      </c>
      <c r="C13" t="s">
        <v>82</v>
      </c>
    </row>
    <row r="14" spans="1:3" x14ac:dyDescent="0.25">
      <c r="A14" t="s">
        <v>25</v>
      </c>
      <c r="B14" t="s">
        <v>85</v>
      </c>
      <c r="C14" t="s">
        <v>82</v>
      </c>
    </row>
    <row r="15" spans="1:3" x14ac:dyDescent="0.25">
      <c r="A15" t="s">
        <v>27</v>
      </c>
      <c r="B15" t="s">
        <v>86</v>
      </c>
      <c r="C15" t="s">
        <v>82</v>
      </c>
    </row>
    <row r="16" spans="1:3" x14ac:dyDescent="0.25">
      <c r="A16" t="s">
        <v>29</v>
      </c>
      <c r="B16" t="s">
        <v>87</v>
      </c>
      <c r="C16" t="s">
        <v>82</v>
      </c>
    </row>
    <row r="17" spans="1:3" x14ac:dyDescent="0.25">
      <c r="A17" t="s">
        <v>34</v>
      </c>
      <c r="B17" t="s">
        <v>88</v>
      </c>
      <c r="C17" t="s">
        <v>82</v>
      </c>
    </row>
    <row r="18" spans="1:3" x14ac:dyDescent="0.25">
      <c r="A18" t="s">
        <v>36</v>
      </c>
      <c r="B18" t="s">
        <v>89</v>
      </c>
      <c r="C18" t="s">
        <v>82</v>
      </c>
    </row>
    <row r="19" spans="1:3" x14ac:dyDescent="0.25">
      <c r="A19" t="s">
        <v>41</v>
      </c>
      <c r="B19" t="s">
        <v>90</v>
      </c>
      <c r="C19" t="s">
        <v>82</v>
      </c>
    </row>
    <row r="20" spans="1:3" x14ac:dyDescent="0.25">
      <c r="A20" t="s">
        <v>52</v>
      </c>
      <c r="B20" t="s">
        <v>91</v>
      </c>
      <c r="C20" t="s">
        <v>82</v>
      </c>
    </row>
    <row r="21" spans="1:3" x14ac:dyDescent="0.25">
      <c r="A21" t="s">
        <v>62</v>
      </c>
      <c r="B21" t="s">
        <v>92</v>
      </c>
      <c r="C21" t="s">
        <v>82</v>
      </c>
    </row>
    <row r="22" spans="1:3" x14ac:dyDescent="0.25">
      <c r="A22" t="s">
        <v>67</v>
      </c>
      <c r="B22" t="s">
        <v>93</v>
      </c>
      <c r="C22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3" width="14" customWidth="1"/>
  </cols>
  <sheetData>
    <row r="1" spans="1:3" x14ac:dyDescent="0.25">
      <c r="A1" s="1" t="s">
        <v>94</v>
      </c>
      <c r="B1" s="1" t="s">
        <v>95</v>
      </c>
      <c r="C1" s="1" t="s">
        <v>96</v>
      </c>
    </row>
    <row r="2" spans="1:3" x14ac:dyDescent="0.25">
      <c r="A2" t="s">
        <v>97</v>
      </c>
      <c r="B2">
        <v>520</v>
      </c>
      <c r="C2">
        <v>10</v>
      </c>
    </row>
    <row r="3" spans="1:3" x14ac:dyDescent="0.25">
      <c r="A3" t="s">
        <v>98</v>
      </c>
      <c r="B3">
        <v>860</v>
      </c>
      <c r="C3">
        <v>10</v>
      </c>
    </row>
    <row r="4" spans="1:3" x14ac:dyDescent="0.25">
      <c r="A4" t="s">
        <v>99</v>
      </c>
      <c r="B4">
        <v>320</v>
      </c>
      <c r="C4">
        <v>330</v>
      </c>
    </row>
    <row r="5" spans="1:3" x14ac:dyDescent="0.25">
      <c r="A5" t="s">
        <v>100</v>
      </c>
      <c r="B5">
        <v>630</v>
      </c>
      <c r="C5">
        <v>330</v>
      </c>
    </row>
    <row r="6" spans="1:3" x14ac:dyDescent="0.25">
      <c r="A6" t="s">
        <v>101</v>
      </c>
      <c r="B6">
        <v>940</v>
      </c>
      <c r="C6">
        <v>330</v>
      </c>
    </row>
    <row r="7" spans="1:3" x14ac:dyDescent="0.25">
      <c r="A7" t="s">
        <v>102</v>
      </c>
      <c r="B7">
        <v>120</v>
      </c>
      <c r="C7">
        <v>690</v>
      </c>
    </row>
    <row r="8" spans="1:3" x14ac:dyDescent="0.25">
      <c r="A8" t="s">
        <v>103</v>
      </c>
      <c r="B8">
        <v>430</v>
      </c>
      <c r="C8">
        <v>690</v>
      </c>
    </row>
    <row r="9" spans="1:3" x14ac:dyDescent="0.25">
      <c r="A9" t="s">
        <v>104</v>
      </c>
      <c r="B9">
        <v>740</v>
      </c>
      <c r="C9">
        <v>690</v>
      </c>
    </row>
    <row r="10" spans="1:3" x14ac:dyDescent="0.25">
      <c r="A10" t="s">
        <v>105</v>
      </c>
      <c r="B10">
        <v>1050</v>
      </c>
      <c r="C10">
        <v>690</v>
      </c>
    </row>
    <row r="11" spans="1:3" x14ac:dyDescent="0.25">
      <c r="A11" t="s">
        <v>78</v>
      </c>
      <c r="B11">
        <v>430</v>
      </c>
      <c r="C11">
        <v>1050</v>
      </c>
    </row>
    <row r="12" spans="1:3" x14ac:dyDescent="0.25">
      <c r="A12" t="s">
        <v>106</v>
      </c>
      <c r="B12">
        <v>740</v>
      </c>
      <c r="C12">
        <v>1050</v>
      </c>
    </row>
    <row r="13" spans="1:3" x14ac:dyDescent="0.25">
      <c r="A13" s="5" t="s">
        <v>107</v>
      </c>
      <c r="B13" s="5">
        <v>120</v>
      </c>
      <c r="C13" s="5">
        <f>C12+320</f>
        <v>1370</v>
      </c>
    </row>
    <row r="14" spans="1:3" x14ac:dyDescent="0.25">
      <c r="A14" t="s">
        <v>108</v>
      </c>
      <c r="B14">
        <f>+B13+310</f>
        <v>430</v>
      </c>
      <c r="C14">
        <v>1370</v>
      </c>
    </row>
    <row r="15" spans="1:3" x14ac:dyDescent="0.25">
      <c r="A15" t="s">
        <v>109</v>
      </c>
      <c r="B15">
        <f t="shared" ref="B15:B18" si="0">+B14+310</f>
        <v>740</v>
      </c>
      <c r="C15">
        <v>1370</v>
      </c>
    </row>
    <row r="16" spans="1:3" x14ac:dyDescent="0.25">
      <c r="A16" t="s">
        <v>110</v>
      </c>
      <c r="B16">
        <f t="shared" si="0"/>
        <v>1050</v>
      </c>
      <c r="C16">
        <v>1370</v>
      </c>
    </row>
    <row r="17" spans="1:3" x14ac:dyDescent="0.25">
      <c r="A17" t="s">
        <v>111</v>
      </c>
      <c r="B17">
        <f t="shared" si="0"/>
        <v>1360</v>
      </c>
      <c r="C17">
        <v>1370</v>
      </c>
    </row>
    <row r="18" spans="1:3" x14ac:dyDescent="0.25">
      <c r="A18" t="s">
        <v>112</v>
      </c>
      <c r="B18">
        <f t="shared" si="0"/>
        <v>1670</v>
      </c>
      <c r="C18">
        <v>1370</v>
      </c>
    </row>
    <row r="19" spans="1:3" x14ac:dyDescent="0.25">
      <c r="A19" s="5" t="s">
        <v>113</v>
      </c>
      <c r="B19" s="5">
        <v>120</v>
      </c>
      <c r="C19" s="5">
        <f>C18+320</f>
        <v>1690</v>
      </c>
    </row>
    <row r="20" spans="1:3" x14ac:dyDescent="0.25">
      <c r="A20" t="s">
        <v>114</v>
      </c>
      <c r="B20">
        <f>+B19+310</f>
        <v>430</v>
      </c>
      <c r="C20">
        <v>1690</v>
      </c>
    </row>
    <row r="21" spans="1:3" x14ac:dyDescent="0.25">
      <c r="A21" t="s">
        <v>115</v>
      </c>
      <c r="B21">
        <f t="shared" ref="B21:B24" si="1">+B20+310</f>
        <v>740</v>
      </c>
      <c r="C21">
        <v>1690</v>
      </c>
    </row>
    <row r="22" spans="1:3" x14ac:dyDescent="0.25">
      <c r="A22" t="s">
        <v>116</v>
      </c>
      <c r="B22">
        <f t="shared" si="1"/>
        <v>1050</v>
      </c>
      <c r="C22">
        <v>1690</v>
      </c>
    </row>
    <row r="23" spans="1:3" x14ac:dyDescent="0.25">
      <c r="A23" t="s">
        <v>117</v>
      </c>
      <c r="B23">
        <f t="shared" si="1"/>
        <v>1360</v>
      </c>
      <c r="C23">
        <v>1690</v>
      </c>
    </row>
    <row r="24" spans="1:3" x14ac:dyDescent="0.25">
      <c r="A24" t="s">
        <v>118</v>
      </c>
      <c r="B24">
        <f t="shared" si="1"/>
        <v>1670</v>
      </c>
      <c r="C24">
        <v>1690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18" customWidth="1"/>
    <col min="2" max="2" width="120" customWidth="1"/>
  </cols>
  <sheetData>
    <row r="1" spans="1:1" x14ac:dyDescent="0.25">
      <c r="A1" s="3" t="s">
        <v>119</v>
      </c>
    </row>
    <row r="2" spans="1:1" x14ac:dyDescent="0.25">
      <c r="A2" s="4" t="s">
        <v>120</v>
      </c>
    </row>
    <row r="3" spans="1:1" x14ac:dyDescent="0.25">
      <c r="A3" t="s">
        <v>121</v>
      </c>
    </row>
    <row r="4" spans="1:1" x14ac:dyDescent="0.25">
      <c r="A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Base_Funcionarios</vt:lpstr>
      <vt:lpstr>Area_Map</vt:lpstr>
      <vt:lpstr>Node_Positions</vt:lpstr>
      <vt:lpstr>Plano_Editavel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Souza, Anderson External</cp:lastModifiedBy>
  <dcterms:created xsi:type="dcterms:W3CDTF">2026-04-04T22:18:55Z</dcterms:created>
  <dcterms:modified xsi:type="dcterms:W3CDTF">2026-04-05T02:56:47Z</dcterms:modified>
</cp:coreProperties>
</file>